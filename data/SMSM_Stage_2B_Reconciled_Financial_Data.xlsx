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9560a08af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Read Me &amp; Overview" sheetId="1" r:id="R7fbce4e19783448c"/>
    <x:sheet xmlns:r="http://schemas.openxmlformats.org/officeDocument/2006/relationships" name="02 Historical Financials" sheetId="2" r:id="Rdcdf62f480e84b24"/>
    <x:sheet xmlns:r="http://schemas.openxmlformats.org/officeDocument/2006/relationships" name="03 Financial Normalization" sheetId="3" r:id="Rcec728a73e2d4a7a"/>
    <x:sheet xmlns:r="http://schemas.openxmlformats.org/officeDocument/2006/relationships" name="04 Working Capital" sheetId="4" r:id="Rfb292ea71ce04cd7"/>
    <x:sheet xmlns:r="http://schemas.openxmlformats.org/officeDocument/2006/relationships" name="05 CapEx &amp; Reinvestment" sheetId="5" r:id="R147bc278b9bf499f"/>
    <x:sheet xmlns:r="http://schemas.openxmlformats.org/officeDocument/2006/relationships" name="06 Capital Structure" sheetId="6" r:id="Rbbbc21b88af14967"/>
    <x:sheet xmlns:r="http://schemas.openxmlformats.org/officeDocument/2006/relationships" name="07 Equity Bridge Framework" sheetId="7" r:id="Ree790a8b1cd54983"/>
    <x:sheet xmlns:r="http://schemas.openxmlformats.org/officeDocument/2006/relationships" name="08 Comparable Companies" sheetId="8" r:id="R30a3e38f75994885"/>
    <x:sheet xmlns:r="http://schemas.openxmlformats.org/officeDocument/2006/relationships" name="09 Validation Controls" sheetId="9" r:id="R474be91074d24bf6"/>
    <x:sheet xmlns:r="http://schemas.openxmlformats.org/officeDocument/2006/relationships" name="10 Sources &amp; Assumptions" sheetId="10" r:id="R2e5110ab1b9f47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%;[Red](0.0%);-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78C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1"/>
      <x:color rgb="FF0000FF"/>
      <x:name val="Carlito"/>
    </x:font>
    <x:font>
      <x:sz val="11"/>
      <x:color rgb="FF171E26"/>
      <x:name val="Carlito"/>
    </x:font>
    <x:font>
      <x:sz val="11"/>
      <x:color rgb="FF008000"/>
      <x:name val="Carlito"/>
    </x:font>
    <x:font>
      <x:b/>
      <x:sz val="11"/>
      <x:color rgb="FF171E26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2B46"/>
      </x:patternFill>
    </x:fill>
    <x:fill>
      <x:patternFill patternType="solid">
        <x:fgColor rgb="FFEAF1F5"/>
      </x:patternFill>
    </x:fill>
    <x:fill>
      <x:patternFill patternType="solid">
        <x:fgColor rgb="FF176B7B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0" fontId="0" fillId="2" borderId="1" xfId="0" applyNumberFormat="1" applyFont="1" applyFill="1" applyBorder="1"/>
    <x:xf numFmtId="0" fontId="3" fillId="2" borderId="1" xfId="0" applyNumberFormat="1" applyFont="1" applyFill="1" applyBorder="1"/>
    <x:xf numFmtId="200" fontId="3" fillId="2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0" fontId="4" fillId="4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0" fillId="0" borderId="0" xfId="0" applyNumberFormat="1" applyFont="1" applyFill="1" applyBorder="1"/>
    <x:xf numFmtId="201" fontId="6" fillId="0" borderId="1" xfId="0" applyNumberFormat="1" applyFont="1" applyFill="1" applyBorder="1"/>
    <x:xf numFmtId="201" fontId="0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200" fontId="4" fillId="2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8" fillId="2" borderId="0" xfId="0" applyNumberFormat="1" applyFont="1" applyFill="1" applyBorder="1"/>
    <x:xf numFmtId="0" fontId="6" fillId="0" borderId="1" xfId="0" applyNumberFormat="1" applyFont="1" applyFill="1" applyBorder="1"/>
    <x:xf numFmtId="0" fontId="8" fillId="2" borderId="1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horizontal="right" wrapText="1"/>
    </x:xf>
    <x:xf numFmtId="200" fontId="4" fillId="4" borderId="1" xfId="0" applyNumberFormat="1" applyFont="1" applyFill="1" applyBorder="1" applyAlignment="1">
      <x:alignment horizontal="right" wrapText="1"/>
    </x:xf>
    <x:xf numFmtId="200" fontId="4" fillId="2" borderId="0" xfId="0" applyNumberFormat="1" applyFont="1" applyFill="1" applyBorder="1" applyAlignment="1">
      <x:alignment horizontal="right" wrapText="1"/>
    </x:xf>
    <x:xf numFmtId="200" fontId="4" fillId="2" borderId="1" xfId="0" applyNumberFormat="1" applyFont="1" applyFill="1" applyBorder="1" applyAlignment="1">
      <x:alignment horizontal="right" wrapText="1"/>
    </x:xf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200" fontId="9" fillId="0" borderId="0" xfId="0" applyNumberFormat="1" applyFont="1" applyFill="1" applyBorder="1"/>
    <x:xf numFmtId="200" fontId="9" fillId="0" borderId="1" xfId="0" applyNumberFormat="1" applyFont="1" applyFill="1" applyBorder="1"/>
    <x:xf numFmtId="200" fontId="5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wrapText="1"/>
    </x:xf>
    <x:xf numFmtId="200" fontId="3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</x:cellXfs>
  <x:cellStyles count="1">
    <x:cellStyle name="Normal" xfId="0"/>
  </x:cellStyles>
  <x:dxfs count="2">
    <x:dxf>
      <x:font>
        <x:color rgb="FFB42318"/>
      </x:font>
      <x:fill>
        <x:patternFill patternType="solid">
          <x:bgColor rgb="FFFEE4E2"/>
        </x:patternFill>
      </x:fill>
    </x:dxf>
    <x:dxf>
      <x:font>
        <x:color rgb="FF147D34"/>
      </x:font>
      <x:fill>
        <x:patternFill patternType="solid">
          <x:bgColor rgb="FFE5F4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c624813bc47f3" /><Relationship Type="http://schemas.openxmlformats.org/officeDocument/2006/relationships/theme" Target="/xl/theme/theme1.xml" Id="Rbe3ad87fc6524926" /><Relationship Type="http://schemas.openxmlformats.org/officeDocument/2006/relationships/sharedStrings" Target="/xl/sharedStrings.xml" Id="R57473e12617e479e" /><Relationship Type="http://schemas.openxmlformats.org/officeDocument/2006/relationships/worksheet" Target="/xl/worksheets/sheet1.xml" Id="R7fbce4e19783448c" /><Relationship Type="http://schemas.openxmlformats.org/officeDocument/2006/relationships/worksheet" Target="/xl/worksheets/sheet2.xml" Id="Rdcdf62f480e84b24" /><Relationship Type="http://schemas.openxmlformats.org/officeDocument/2006/relationships/worksheet" Target="/xl/worksheets/sheet3.xml" Id="Rcec728a73e2d4a7a" /><Relationship Type="http://schemas.openxmlformats.org/officeDocument/2006/relationships/worksheet" Target="/xl/worksheets/sheet4.xml" Id="Rfb292ea71ce04cd7" /><Relationship Type="http://schemas.openxmlformats.org/officeDocument/2006/relationships/worksheet" Target="/xl/worksheets/sheet5.xml" Id="R147bc278b9bf499f" /><Relationship Type="http://schemas.openxmlformats.org/officeDocument/2006/relationships/worksheet" Target="/xl/worksheets/sheet6.xml" Id="Rbbbc21b88af14967" /><Relationship Type="http://schemas.openxmlformats.org/officeDocument/2006/relationships/worksheet" Target="/xl/worksheets/sheet7.xml" Id="Ree790a8b1cd54983" /><Relationship Type="http://schemas.openxmlformats.org/officeDocument/2006/relationships/worksheet" Target="/xl/worksheets/sheet8.xml" Id="R30a3e38f75994885" /><Relationship Type="http://schemas.openxmlformats.org/officeDocument/2006/relationships/worksheet" Target="/xl/worksheets/sheet9.xml" Id="R474be91074d24bf6" /><Relationship Type="http://schemas.openxmlformats.org/officeDocument/2006/relationships/worksheet" Target="/xl/worksheets/sheet10.xml" Id="R2e5110ab1b9f47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46" hidden="0" customWidth="1"/>
    <x:col min="2" max="2" width="10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51" hidden="0" customWidth="1"/>
    <x:col min="10" max="10" width="70" hidden="0" customWidth="1"/>
  </x:cols>
  <x:sheetData>
    <x:row r="1" ht="23" customHeight="1">
      <x:c r="A1" s="74" t="str">
        <x:v>SMSM | Stage 2B Financial Foundation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23" customHeight="1">
      <x:c r="A2" s="74"/>
      <x:c r="B2" s="74"/>
      <x:c r="C2" s="74"/>
      <x:c r="D2" s="74"/>
      <x:c r="E2" s="74"/>
      <x:c r="F2" s="74"/>
      <x:c r="G2" s="74"/>
      <x:c r="H2" s="74"/>
      <x:c r="I2" s="74"/>
      <x:c r="J2" s="74"/>
    </x:row>
    <x:row r="3" ht="25" customHeight="1">
      <x:c r="A3" s="75" t="str">
        <x:v>As at 24 October 2026  •  IDR million, unless specified  •  Historical data ONLY</x:v>
      </x:c>
      <x:c r="B3" s="75"/>
      <x:c r="C3" s="75"/>
      <x:c r="D3" s="75"/>
      <x:c r="E3" s="75"/>
      <x:c r="F3" s="75"/>
      <x:c r="G3" s="75"/>
      <x:c r="H3" s="75"/>
      <x:c r="I3" s="75"/>
      <x:c r="J3" s="75"/>
    </x:row>
    <x:row r="5" ht="23" customHeight="1">
      <x:c r="A5" s="15" t="str">
        <x:v>SCOPE &amp; CONTROL NOTES</x:v>
      </x:c>
      <x:c r="B5" s="16"/>
      <x:c r="C5" s="16"/>
      <x:c r="D5" s="16"/>
      <x:c r="E5" s="16"/>
      <x:c r="F5" s="16"/>
      <x:c r="G5" s="16"/>
      <x:c r="H5" s="16"/>
      <x:c r="I5" s="15"/>
      <x:c r="J5" s="15"/>
    </x:row>
    <x:row r="6">
      <x:c r="B6" s="54"/>
      <x:c r="C6" s="54"/>
      <x:c r="D6" s="54"/>
      <x:c r="E6" s="54"/>
      <x:c r="F6" s="54"/>
      <x:c r="G6" s="54"/>
      <x:c r="H6" s="54"/>
    </x:row>
    <x:row r="7" ht="25" customHeight="1">
      <x:c r="A7" s="50" t="str">
        <x:v>Company</x:v>
      </x:c>
      <x:c r="B7" s="20" t="str">
        <x:v>PT Selamat Sempurna Tbk (IDX: SMSM)</x:v>
      </x:c>
      <x:c r="C7" s="20"/>
      <x:c r="D7" s="20"/>
      <x:c r="E7" s="20"/>
      <x:c r="F7" s="20"/>
      <x:c r="G7" s="20"/>
      <x:c r="H7" s="20"/>
      <x:c r="I7" s="21"/>
      <x:c r="J7" s="21"/>
    </x:row>
    <x:row r="8" ht="25" customHeight="1">
      <x:c r="A8" s="50" t="str">
        <x:v>Purpose</x:v>
      </x:c>
      <x:c r="B8" s="20" t="str">
        <x:v>Reconciled source-backed historical data; not a DCF forecast, app or investment recommendation</x:v>
      </x:c>
      <x:c r="C8" s="20"/>
      <x:c r="D8" s="20"/>
      <x:c r="E8" s="20"/>
      <x:c r="F8" s="20"/>
      <x:c r="G8" s="20"/>
      <x:c r="H8" s="20"/>
      <x:c r="I8" s="21"/>
      <x:c r="J8" s="21"/>
    </x:row>
    <x:row r="9" ht="25" customHeight="1">
      <x:c r="A9" s="50" t="str">
        <x:v>Company baseline</x:v>
      </x:c>
      <x:c r="B9" s="20" t="str">
        <x:v>FY2025 audited financial statements; H1 2026 unaudited comparatives</x:v>
      </x:c>
      <x:c r="C9" s="20"/>
      <x:c r="D9" s="20"/>
      <x:c r="E9" s="20"/>
      <x:c r="F9" s="20"/>
      <x:c r="G9" s="20"/>
      <x:c r="H9" s="20"/>
      <x:c r="I9" s="21"/>
      <x:c r="J9" s="21"/>
    </x:row>
    <x:row r="10" ht="25" customHeight="1">
      <x:c r="A10" s="50" t="str">
        <x:v>Proposed market date</x:v>
      </x:c>
      <x:c r="B10" s="20" t="str">
        <x:v>2026-10-23 — independently corroborated close Rp1,670/share, official IDX extract not acquired</x:v>
      </x:c>
      <x:c r="C10" s="20"/>
      <x:c r="D10" s="20"/>
      <x:c r="E10" s="20"/>
      <x:c r="F10" s="20"/>
      <x:c r="G10" s="20"/>
      <x:c r="H10" s="20"/>
      <x:c r="I10" s="21"/>
      <x:c r="J10" s="21"/>
    </x:row>
    <x:row r="11" ht="25" customHeight="1">
      <x:c r="A11" s="50" t="str">
        <x:v>Working-capital series</x:v>
      </x:c>
      <x:c r="B11" s="20" t="str">
        <x:v>1 Jan 2023 restated opening (FY2022R); FY2023R; FY2024; FY2025; H1 2026</x:v>
      </x:c>
      <x:c r="C11" s="20"/>
      <x:c r="D11" s="20"/>
      <x:c r="E11" s="20"/>
      <x:c r="F11" s="20"/>
      <x:c r="G11" s="20"/>
      <x:c r="H11" s="20"/>
      <x:c r="I11" s="21"/>
      <x:c r="J11" s="21"/>
    </x:row>
    <x:row r="12" ht="25" customHeight="1">
      <x:c r="A12" s="50" t="str">
        <x:v>Historical performance</x:v>
      </x:c>
      <x:c r="B12" s="20" t="str">
        <x:v>FY2021–FY2025, plus H1 2026; 2021–2022 historical series not fully restated onto latest common-control perimeter</x:v>
      </x:c>
      <x:c r="C12" s="20"/>
      <x:c r="D12" s="20"/>
      <x:c r="E12" s="20"/>
      <x:c r="F12" s="20"/>
      <x:c r="G12" s="20"/>
      <x:c r="H12" s="20"/>
      <x:c r="I12" s="21"/>
      <x:c r="J12" s="21"/>
    </x:row>
    <x:row r="13" ht="25" customHeight="1">
      <x:c r="A13" s="50" t="str">
        <x:v>Accounting precision</x:v>
      </x:c>
      <x:c r="B13" s="20" t="str">
        <x:v>All Rp monetary financial statement data expressed in Rp MILLION, except share count/price</x:v>
      </x:c>
      <x:c r="C13" s="20"/>
      <x:c r="D13" s="20"/>
      <x:c r="E13" s="20"/>
      <x:c r="F13" s="20"/>
      <x:c r="G13" s="20"/>
      <x:c r="H13" s="20"/>
      <x:c r="I13" s="21"/>
      <x:c r="J13" s="21"/>
    </x:row>
    <x:row r="14" ht="25" customHeight="1">
      <x:c r="A14" s="50" t="str">
        <x:v>Key caution</x:v>
      </x:c>
      <x:c r="B14" s="20" t="str">
        <x:v>FY2024 CFO FX re-presentation: use FY2025 annual comparative of Rp1,147,857m</x:v>
      </x:c>
      <x:c r="C14" s="20"/>
      <x:c r="D14" s="20"/>
      <x:c r="E14" s="20"/>
      <x:c r="F14" s="20"/>
      <x:c r="G14" s="20"/>
      <x:c r="H14" s="20"/>
      <x:c r="I14" s="21"/>
      <x:c r="J14" s="21"/>
    </x:row>
    <x:row r="15" ht="25" customHeight="1">
      <x:c r="A15" s="50" t="str">
        <x:v>Data statuses</x:v>
      </x:c>
      <x:c r="B15" s="20" t="str">
        <x:v>R=reported; RS=restated; D=derived; N=normalized; A=assumption/proxy; U=unresolved</x:v>
      </x:c>
      <x:c r="C15" s="20"/>
      <x:c r="D15" s="20"/>
      <x:c r="E15" s="20"/>
      <x:c r="F15" s="20"/>
      <x:c r="G15" s="20"/>
      <x:c r="H15" s="20"/>
      <x:c r="I15" s="21"/>
      <x:c r="J15" s="21"/>
    </x:row>
    <x:row r="16" ht="25" customHeight="1">
      <x:c r="A16" s="50" t="str">
        <x:v>Model boundary</x:v>
      </x:c>
      <x:c r="B16" s="20" t="str">
        <x:v>Status: arithmetic foundation reconciled; book-value economic proxies and share-date controls remain disclosed in register.</x:v>
      </x:c>
      <x:c r="C16" s="20"/>
      <x:c r="D16" s="20"/>
      <x:c r="E16" s="20"/>
      <x:c r="F16" s="20"/>
      <x:c r="G16" s="20"/>
      <x:c r="H16" s="20"/>
      <x:c r="I16" s="21"/>
      <x:c r="J16" s="21"/>
    </x:row>
    <x:row r="17" ht="25" customHeight="1">
      <x:c r="A17" s="50" t="str">
        <x:v>Readiness</x:v>
      </x:c>
      <x:c r="B17" s="20" t="str">
        <x:v>See 09 Validation Controls for 17 arithmetic tests. Stage 3 readiness refers to architecture, not proven fair value or model.</x:v>
      </x:c>
      <x:c r="C17" s="20"/>
      <x:c r="D17" s="20"/>
      <x:c r="E17" s="20"/>
      <x:c r="F17" s="20"/>
      <x:c r="G17" s="20"/>
      <x:c r="H17" s="20"/>
      <x:c r="I17" s="21"/>
      <x:c r="J17" s="21"/>
    </x:row>
    <x:row r="18">
      <x:c r="A18" s="50"/>
      <x:c r="B18" s="12"/>
      <x:c r="C18" s="12"/>
      <x:c r="D18" s="12"/>
      <x:c r="E18" s="12"/>
      <x:c r="F18" s="12"/>
      <x:c r="G18" s="12"/>
      <x:c r="H18" s="12"/>
    </x:row>
    <x:row r="19">
      <x:c r="A19" s="50"/>
      <x:c r="B19" s="12"/>
      <x:c r="C19" s="12"/>
      <x:c r="D19" s="12"/>
      <x:c r="E19" s="12"/>
      <x:c r="F19" s="12"/>
      <x:c r="G19" s="12"/>
      <x:c r="H19" s="12"/>
    </x:row>
    <x:row r="20" ht="23" customHeight="1">
      <x:c r="A20" s="51" t="str">
        <x:v>WORKBOOK OPERATING INSTRUCTIONS</x:v>
      </x:c>
      <x:c r="B20" s="16"/>
      <x:c r="C20" s="16"/>
      <x:c r="D20" s="16"/>
      <x:c r="E20" s="16"/>
      <x:c r="F20" s="16"/>
      <x:c r="G20" s="16"/>
      <x:c r="H20" s="16"/>
      <x:c r="I20" s="15"/>
      <x:c r="J20" s="15"/>
    </x:row>
    <x:row r="21">
      <x:c r="A21" s="50"/>
      <x:c r="B21" s="12"/>
      <x:c r="C21" s="12"/>
      <x:c r="D21" s="12"/>
      <x:c r="E21" s="12"/>
      <x:c r="F21" s="12"/>
      <x:c r="G21" s="12"/>
      <x:c r="H21" s="12"/>
    </x:row>
    <x:row r="22" ht="30" customHeight="1">
      <x:c r="A22" s="50" t="str">
        <x:v>Instruction</x:v>
      </x:c>
      <x:c r="B22" s="20" t="str">
        <x:v>1. Enter/modify verified raw data (BLUE) only after retaining a dated primary-source reference.</x:v>
      </x:c>
      <x:c r="C22" s="12"/>
      <x:c r="D22" s="12"/>
      <x:c r="E22" s="12"/>
      <x:c r="F22" s="12"/>
      <x:c r="G22" s="12"/>
      <x:c r="H22" s="12"/>
    </x:row>
    <x:row r="23" ht="30" customHeight="1">
      <x:c r="A23" s="50" t="str">
        <x:v>Instruction</x:v>
      </x:c>
      <x:c r="B23" s="20" t="str">
        <x:v>2. Formula cells (BLACK) recompute within a worksheet; GREEN formulas link to other sheets.</x:v>
      </x:c>
      <x:c r="C23" s="12"/>
      <x:c r="D23" s="12"/>
      <x:c r="E23" s="12"/>
      <x:c r="F23" s="12"/>
      <x:c r="G23" s="12"/>
      <x:c r="H23" s="12"/>
    </x:row>
    <x:row r="24" ht="30" customHeight="1">
      <x:c r="A24" s="50" t="str">
        <x:v>Instruction</x:v>
      </x:c>
      <x:c r="B24" s="20" t="str">
        <x:v>3. The Working Capital and CapEx sheets are transaction-defined; changing an underlying input updates reconciliation checks.</x:v>
      </x:c>
      <x:c r="C24" s="12"/>
      <x:c r="D24" s="12"/>
      <x:c r="E24" s="12"/>
      <x:c r="F24" s="12"/>
      <x:c r="G24" s="12"/>
      <x:c r="H24" s="12"/>
    </x:row>
    <x:row r="25" ht="30" customHeight="1">
      <x:c r="A25" s="50" t="str">
        <x:v>Instruction</x:v>
      </x:c>
      <x:c r="B25" s="20" t="str">
        <x:v>4. Yellow-tinted notes identify assumption sensitivities and follow-up evidence; never overwrite source-reported data.</x:v>
      </x:c>
      <x:c r="C25" s="12"/>
      <x:c r="D25" s="12"/>
      <x:c r="E25" s="12"/>
      <x:c r="F25" s="12"/>
      <x:c r="G25" s="12"/>
      <x:c r="H25" s="12"/>
    </x:row>
    <x:row r="26" ht="30" customHeight="1">
      <x:c r="A26" s="50" t="str">
        <x:v>Instruction</x:v>
      </x:c>
      <x:c r="B26" s="20" t="str">
        <x:v>5. Inspect 09 Validation Controls after every update. Zero arithmetic residual does not establish economic fair value.</x:v>
      </x:c>
      <x:c r="C26" s="12"/>
      <x:c r="D26" s="12"/>
      <x:c r="E26" s="12"/>
      <x:c r="F26" s="12"/>
      <x:c r="G26" s="12"/>
      <x:c r="H26" s="12"/>
    </x:row>
    <x:row r="27" ht="30" customHeight="1">
      <x:c r="A27" s="50" t="str">
        <x:v>Instruction</x:v>
      </x:c>
      <x:c r="B27" s="20" t="str">
        <x:v>6. Proposed Stage 3 will consume these tabs; no forecast, multiple, WACC, fair value, or recommendation is included.</x:v>
      </x:c>
      <x:c r="C27" s="12"/>
      <x:c r="D27" s="12"/>
      <x:c r="E27" s="12"/>
      <x:c r="F27" s="12"/>
      <x:c r="G27" s="12"/>
      <x:c r="H27" s="12"/>
    </x:row>
    <x:row r="28">
      <x:c r="A28" s="50"/>
      <x:c r="B28" s="12"/>
      <x:c r="C28" s="12"/>
      <x:c r="D28" s="12"/>
      <x:c r="E28" s="12"/>
      <x:c r="F28" s="12"/>
      <x:c r="G28" s="12"/>
      <x:c r="H28" s="12"/>
    </x:row>
    <x:row r="29">
      <x:c r="A29" s="50"/>
      <x:c r="B29" s="12"/>
      <x:c r="C29" s="12"/>
      <x:c r="D29" s="12"/>
      <x:c r="E29" s="12"/>
      <x:c r="F29" s="12"/>
      <x:c r="G29" s="12"/>
      <x:c r="H29" s="12"/>
    </x:row>
    <x:row r="30">
      <x:c r="A30" s="50"/>
      <x:c r="B30" s="12"/>
      <x:c r="C30" s="12"/>
      <x:c r="D30" s="12"/>
      <x:c r="E30" s="12"/>
      <x:c r="F30" s="12"/>
      <x:c r="G30" s="12"/>
      <x:c r="H30" s="12"/>
    </x:row>
    <x:row r="31">
      <x:c r="A31" s="50"/>
      <x:c r="B31" s="12"/>
      <x:c r="C31" s="12"/>
      <x:c r="D31" s="12"/>
      <x:c r="E31" s="12"/>
      <x:c r="F31" s="12"/>
      <x:c r="G31" s="12"/>
      <x:c r="H31" s="12"/>
    </x:row>
    <x:row r="32">
      <x:c r="A32" s="50"/>
      <x:c r="B32" s="12"/>
      <x:c r="C32" s="12"/>
      <x:c r="D32" s="12"/>
      <x:c r="E32" s="12"/>
      <x:c r="F32" s="12"/>
      <x:c r="G32" s="12"/>
      <x:c r="H32" s="12"/>
    </x:row>
    <x:row r="33">
      <x:c r="A33" s="50"/>
      <x:c r="B33" s="12"/>
      <x:c r="C33" s="12"/>
      <x:c r="D33" s="12"/>
      <x:c r="E33" s="12"/>
      <x:c r="F33" s="12"/>
      <x:c r="G33" s="12"/>
      <x:c r="H33" s="12"/>
    </x:row>
    <x:row r="34">
      <x:c r="A34" s="50"/>
      <x:c r="B34" s="12"/>
      <x:c r="C34" s="12"/>
      <x:c r="D34" s="12"/>
      <x:c r="E34" s="12"/>
      <x:c r="F34" s="12"/>
      <x:c r="G34" s="12"/>
      <x:c r="H34" s="12"/>
    </x:row>
    <x:row r="35">
      <x:c r="A35" s="50"/>
      <x:c r="B35" s="12"/>
      <x:c r="C35" s="12"/>
      <x:c r="D35" s="12"/>
      <x:c r="E35" s="12"/>
      <x:c r="F35" s="12"/>
      <x:c r="G35" s="12"/>
      <x:c r="H35" s="12"/>
    </x:row>
    <x:row r="36">
      <x:c r="A36" s="50"/>
      <x:c r="B36" s="12"/>
      <x:c r="C36" s="12"/>
      <x:c r="D36" s="12"/>
      <x:c r="E36" s="12"/>
      <x:c r="F36" s="12"/>
      <x:c r="G36" s="12"/>
      <x:c r="H36" s="12"/>
    </x:row>
    <x:row r="37">
      <x:c r="A37" s="50"/>
      <x:c r="B37" s="12"/>
      <x:c r="C37" s="12"/>
      <x:c r="D37" s="12"/>
      <x:c r="E37" s="12"/>
      <x:c r="F37" s="12"/>
      <x:c r="G37" s="12"/>
      <x:c r="H37" s="12"/>
    </x:row>
    <x:row r="38">
      <x:c r="A38" s="50"/>
      <x:c r="B38" s="12"/>
      <x:c r="C38" s="12"/>
      <x:c r="D38" s="12"/>
      <x:c r="E38" s="12"/>
      <x:c r="F38" s="12"/>
      <x:c r="G38" s="12"/>
      <x:c r="H38" s="12"/>
    </x:row>
    <x:row r="39">
      <x:c r="A39" s="50"/>
      <x:c r="B39" s="12"/>
      <x:c r="C39" s="12"/>
      <x:c r="D39" s="12"/>
      <x:c r="E39" s="12"/>
      <x:c r="F39" s="12"/>
      <x:c r="G39" s="12"/>
      <x:c r="H39" s="12"/>
    </x:row>
    <x:row r="40">
      <x:c r="A40" s="50"/>
      <x:c r="B40" s="12"/>
      <x:c r="C40" s="12"/>
      <x:c r="D40" s="12"/>
      <x:c r="E40" s="12"/>
      <x:c r="F40" s="12"/>
      <x:c r="G40" s="12"/>
      <x:c r="H40" s="12"/>
    </x:row>
    <x:row r="41">
      <x:c r="A41" s="50"/>
      <x:c r="B41" s="12"/>
      <x:c r="C41" s="12"/>
      <x:c r="D41" s="12"/>
      <x:c r="E41" s="12"/>
      <x:c r="F41" s="12"/>
      <x:c r="G41" s="12"/>
      <x:c r="H41" s="12"/>
    </x:row>
    <x:row r="42">
      <x:c r="A42" s="50"/>
      <x:c r="B42" s="12"/>
      <x:c r="C42" s="12"/>
      <x:c r="D42" s="12"/>
      <x:c r="E42" s="12"/>
      <x:c r="F42" s="12"/>
      <x:c r="G42" s="12"/>
      <x:c r="H42" s="12"/>
    </x:row>
    <x:row r="43">
      <x:c r="A43" s="50"/>
      <x:c r="B43" s="12"/>
      <x:c r="C43" s="12"/>
      <x:c r="D43" s="12"/>
      <x:c r="E43" s="12"/>
      <x:c r="F43" s="12"/>
      <x:c r="G43" s="12"/>
      <x:c r="H43" s="12"/>
    </x:row>
    <x:row r="44">
      <x:c r="A44" s="50"/>
      <x:c r="B44" s="12"/>
      <x:c r="C44" s="12"/>
      <x:c r="D44" s="12"/>
      <x:c r="E44" s="12"/>
      <x:c r="F44" s="12"/>
      <x:c r="G44" s="12"/>
      <x:c r="H44" s="12"/>
    </x:row>
    <x:row r="45">
      <x:c r="A45" s="50"/>
      <x:c r="B45" s="12"/>
      <x:c r="C45" s="12"/>
      <x:c r="D45" s="12"/>
      <x:c r="E45" s="12"/>
      <x:c r="F45" s="12"/>
      <x:c r="G45" s="12"/>
      <x:c r="H45" s="12"/>
    </x:row>
    <x:row r="46">
      <x:c r="A46" s="50"/>
      <x:c r="B46" s="12"/>
      <x:c r="C46" s="12"/>
      <x:c r="D46" s="12"/>
      <x:c r="E46" s="12"/>
      <x:c r="F46" s="12"/>
      <x:c r="G46" s="12"/>
      <x:c r="H46" s="12"/>
    </x:row>
    <x:row r="47">
      <x:c r="A47" s="50"/>
      <x:c r="B47" s="12"/>
      <x:c r="C47" s="12"/>
      <x:c r="D47" s="12"/>
      <x:c r="E47" s="12"/>
      <x:c r="F47" s="12"/>
      <x:c r="G47" s="12"/>
      <x:c r="H47" s="12"/>
    </x:row>
    <x:row r="48">
      <x:c r="A48" s="50"/>
      <x:c r="B48" s="12"/>
      <x:c r="C48" s="12"/>
      <x:c r="D48" s="12"/>
      <x:c r="E48" s="12"/>
      <x:c r="F48" s="12"/>
      <x:c r="G48" s="12"/>
      <x:c r="H48" s="12"/>
    </x:row>
    <x:row r="49">
      <x:c r="A49" s="50"/>
      <x:c r="B49" s="12"/>
      <x:c r="C49" s="12"/>
      <x:c r="D49" s="12"/>
      <x:c r="E49" s="12"/>
      <x:c r="F49" s="12"/>
      <x:c r="G49" s="12"/>
      <x:c r="H49" s="12"/>
    </x:row>
    <x:row r="50">
      <x:c r="A50" s="50"/>
      <x:c r="B50" s="12"/>
      <x:c r="C50" s="12"/>
      <x:c r="D50" s="12"/>
      <x:c r="E50" s="12"/>
      <x:c r="F50" s="12"/>
      <x:c r="G50" s="12"/>
      <x:c r="H50" s="12"/>
    </x:row>
    <x:row r="51">
      <x:c r="A51" s="50"/>
      <x:c r="B51" s="12"/>
      <x:c r="C51" s="12"/>
      <x:c r="D51" s="12"/>
      <x:c r="E51" s="12"/>
      <x:c r="F51" s="12"/>
      <x:c r="G51" s="12"/>
      <x:c r="H51" s="12"/>
    </x:row>
    <x:row r="52">
      <x:c r="A52" s="50"/>
      <x:c r="B52" s="12"/>
      <x:c r="C52" s="12"/>
      <x:c r="D52" s="12"/>
      <x:c r="E52" s="12"/>
      <x:c r="F52" s="12"/>
      <x:c r="G52" s="12"/>
      <x:c r="H52" s="12"/>
    </x:row>
    <x:row r="53">
      <x:c r="A53" s="50"/>
      <x:c r="B53" s="12"/>
      <x:c r="C53" s="12"/>
      <x:c r="D53" s="12"/>
      <x:c r="E53" s="12"/>
      <x:c r="F53" s="12"/>
      <x:c r="G53" s="12"/>
      <x:c r="H53" s="12"/>
    </x:row>
    <x:row r="54">
      <x:c r="A54" s="50"/>
      <x:c r="B54" s="12"/>
      <x:c r="C54" s="12"/>
      <x:c r="D54" s="12"/>
      <x:c r="E54" s="12"/>
      <x:c r="F54" s="12"/>
      <x:c r="G54" s="12"/>
      <x:c r="H54" s="12"/>
    </x:row>
    <x:row r="55">
      <x:c r="A55" s="50"/>
      <x:c r="B55" s="12"/>
      <x:c r="C55" s="12"/>
      <x:c r="D55" s="12"/>
      <x:c r="E55" s="12"/>
      <x:c r="F55" s="12"/>
      <x:c r="G55" s="12"/>
      <x:c r="H55" s="12"/>
    </x:row>
    <x:row r="56">
      <x:c r="A56" s="50"/>
      <x:c r="B56" s="12"/>
      <x:c r="C56" s="12"/>
      <x:c r="D56" s="12"/>
      <x:c r="E56" s="12"/>
      <x:c r="F56" s="12"/>
      <x:c r="G56" s="12"/>
      <x:c r="H56" s="12"/>
    </x:row>
    <x:row r="57">
      <x:c r="A57" s="50"/>
      <x:c r="B57" s="12"/>
      <x:c r="C57" s="12"/>
      <x:c r="D57" s="12"/>
      <x:c r="E57" s="12"/>
      <x:c r="F57" s="12"/>
      <x:c r="G57" s="12"/>
      <x:c r="H57" s="12"/>
    </x:row>
    <x:row r="58">
      <x:c r="A58" s="50"/>
      <x:c r="B58" s="12"/>
      <x:c r="C58" s="12"/>
      <x:c r="D58" s="12"/>
      <x:c r="E58" s="12"/>
      <x:c r="F58" s="12"/>
      <x:c r="G58" s="12"/>
      <x:c r="H58" s="12"/>
    </x:row>
    <x:row r="59">
      <x:c r="A59" s="50"/>
      <x:c r="B59" s="12"/>
      <x:c r="C59" s="12"/>
      <x:c r="D59" s="12"/>
      <x:c r="E59" s="12"/>
      <x:c r="F59" s="12"/>
      <x:c r="G59" s="12"/>
      <x:c r="H59" s="12"/>
    </x:row>
    <x:row r="60">
      <x:c r="A60" s="50"/>
      <x:c r="B60" s="12"/>
      <x:c r="C60" s="12"/>
      <x:c r="D60" s="12"/>
      <x:c r="E60" s="12"/>
      <x:c r="F60" s="12"/>
      <x:c r="G60" s="12"/>
      <x:c r="H60" s="12"/>
    </x:row>
    <x:row r="61">
      <x:c r="B61" s="12"/>
      <x:c r="C61" s="12"/>
      <x:c r="D61" s="12"/>
      <x:c r="E61" s="12"/>
      <x:c r="F61" s="12"/>
      <x:c r="G61" s="12"/>
      <x:c r="H61" s="12"/>
    </x:row>
    <x:row r="62">
      <x:c r="B62" s="12"/>
      <x:c r="C62" s="12"/>
      <x:c r="D62" s="12"/>
      <x:c r="E62" s="12"/>
      <x:c r="F62" s="12"/>
      <x:c r="G62" s="12"/>
      <x:c r="H62" s="12"/>
    </x:row>
    <x:row r="63">
      <x:c r="B63" s="12"/>
      <x:c r="C63" s="12"/>
      <x:c r="D63" s="12"/>
      <x:c r="E63" s="12"/>
      <x:c r="F63" s="12"/>
      <x:c r="G63" s="12"/>
      <x:c r="H63" s="12"/>
    </x:row>
    <x:row r="64">
      <x:c r="B64" s="12"/>
      <x:c r="C64" s="12"/>
      <x:c r="D64" s="12"/>
      <x:c r="E64" s="12"/>
      <x:c r="F64" s="12"/>
      <x:c r="G64" s="12"/>
      <x:c r="H64" s="12"/>
    </x:row>
    <x:row r="65">
      <x:c r="B65" s="12"/>
      <x:c r="C65" s="12"/>
      <x:c r="D65" s="12"/>
      <x:c r="E65" s="12"/>
      <x:c r="F65" s="12"/>
      <x:c r="G65" s="12"/>
      <x:c r="H65" s="12"/>
    </x:row>
    <x:row r="66">
      <x:c r="B66" s="12"/>
      <x:c r="C66" s="12"/>
      <x:c r="D66" s="12"/>
      <x:c r="E66" s="12"/>
      <x:c r="F66" s="12"/>
      <x:c r="G66" s="12"/>
      <x:c r="H66" s="12"/>
    </x:row>
    <x:row r="67">
      <x:c r="B67" s="12"/>
      <x:c r="C67" s="12"/>
      <x:c r="D67" s="12"/>
      <x:c r="E67" s="12"/>
      <x:c r="F67" s="12"/>
      <x:c r="G67" s="12"/>
      <x:c r="H67" s="12"/>
    </x:row>
    <x:row r="68">
      <x:c r="B68" s="12"/>
      <x:c r="C68" s="12"/>
      <x:c r="D68" s="12"/>
      <x:c r="E68" s="12"/>
      <x:c r="F68" s="12"/>
      <x:c r="G68" s="12"/>
      <x:c r="H68" s="12"/>
    </x:row>
    <x:row r="69">
      <x:c r="B69" s="12"/>
      <x:c r="C69" s="12"/>
      <x:c r="D69" s="12"/>
      <x:c r="E69" s="12"/>
      <x:c r="F69" s="12"/>
      <x:c r="G69" s="12"/>
      <x:c r="H69" s="12"/>
    </x:row>
    <x:row r="70">
      <x:c r="B70" s="12"/>
      <x:c r="C70" s="12"/>
      <x:c r="D70" s="12"/>
      <x:c r="E70" s="12"/>
      <x:c r="F70" s="12"/>
      <x:c r="G70" s="12"/>
      <x:c r="H70" s="12"/>
    </x:row>
    <x:row r="71">
      <x:c r="B71" s="12"/>
      <x:c r="C71" s="12"/>
      <x:c r="D71" s="12"/>
      <x:c r="E71" s="12"/>
      <x:c r="F71" s="12"/>
      <x:c r="G71" s="12"/>
      <x:c r="H71" s="12"/>
    </x:row>
    <x:row r="72">
      <x:c r="B72" s="12"/>
      <x:c r="C72" s="12"/>
      <x:c r="D72" s="12"/>
      <x:c r="E72" s="12"/>
      <x:c r="F72" s="12"/>
      <x:c r="G72" s="12"/>
      <x:c r="H72" s="12"/>
    </x:row>
    <x:row r="73">
      <x:c r="B73" s="12"/>
      <x:c r="C73" s="12"/>
      <x:c r="D73" s="12"/>
      <x:c r="E73" s="12"/>
      <x:c r="F73" s="12"/>
      <x:c r="G73" s="12"/>
      <x:c r="H73" s="12"/>
    </x:row>
    <x:row r="74">
      <x:c r="B74" s="12"/>
      <x:c r="C74" s="12"/>
      <x:c r="D74" s="12"/>
      <x:c r="E74" s="12"/>
      <x:c r="F74" s="12"/>
      <x:c r="G74" s="12"/>
      <x:c r="H74" s="12"/>
    </x:row>
    <x:row r="75">
      <x:c r="B75" s="12"/>
      <x:c r="C75" s="12"/>
      <x:c r="D75" s="12"/>
      <x:c r="E75" s="12"/>
      <x:c r="F75" s="12"/>
      <x:c r="G75" s="12"/>
      <x:c r="H75" s="12"/>
    </x:row>
    <x:row r="76">
      <x:c r="B76" s="12"/>
      <x:c r="C76" s="12"/>
      <x:c r="D76" s="12"/>
      <x:c r="E76" s="12"/>
      <x:c r="F76" s="12"/>
      <x:c r="G76" s="12"/>
      <x:c r="H76" s="12"/>
    </x:row>
    <x:row r="77">
      <x:c r="B77" s="12"/>
      <x:c r="C77" s="12"/>
      <x:c r="D77" s="12"/>
      <x:c r="E77" s="12"/>
      <x:c r="F77" s="12"/>
      <x:c r="G77" s="12"/>
      <x:c r="H77" s="12"/>
    </x:row>
    <x:row r="78">
      <x:c r="B78" s="12"/>
      <x:c r="C78" s="12"/>
      <x:c r="D78" s="12"/>
      <x:c r="E78" s="12"/>
      <x:c r="F78" s="12"/>
      <x:c r="G78" s="12"/>
      <x:c r="H78" s="12"/>
    </x:row>
    <x:row r="79">
      <x:c r="B79" s="12"/>
      <x:c r="C79" s="12"/>
      <x:c r="D79" s="12"/>
      <x:c r="E79" s="12"/>
      <x:c r="F79" s="12"/>
      <x:c r="G79" s="12"/>
      <x:c r="H79" s="12"/>
    </x:row>
    <x:row r="80">
      <x:c r="B80" s="12"/>
      <x:c r="C80" s="12"/>
      <x:c r="D80" s="12"/>
      <x:c r="E80" s="12"/>
      <x:c r="F80" s="12"/>
      <x:c r="G80" s="12"/>
      <x:c r="H80" s="12"/>
    </x:row>
    <x:row r="81">
      <x:c r="B81" s="12"/>
      <x:c r="C81" s="12"/>
      <x:c r="D81" s="12"/>
      <x:c r="E81" s="12"/>
      <x:c r="F81" s="12"/>
      <x:c r="G81" s="12"/>
      <x:c r="H81" s="12"/>
    </x:row>
    <x:row r="82">
      <x:c r="B82" s="12"/>
      <x:c r="C82" s="12"/>
      <x:c r="D82" s="12"/>
      <x:c r="E82" s="12"/>
      <x:c r="F82" s="12"/>
      <x:c r="G82" s="12"/>
      <x:c r="H82" s="12"/>
    </x:row>
    <x:row r="83">
      <x:c r="B83" s="12"/>
      <x:c r="C83" s="12"/>
      <x:c r="D83" s="12"/>
      <x:c r="E83" s="12"/>
      <x:c r="F83" s="12"/>
      <x:c r="G83" s="12"/>
      <x:c r="H83" s="12"/>
    </x:row>
    <x:row r="84">
      <x:c r="B84" s="12"/>
      <x:c r="C84" s="12"/>
      <x:c r="D84" s="12"/>
      <x:c r="E84" s="12"/>
      <x:c r="F84" s="12"/>
      <x:c r="G84" s="12"/>
      <x:c r="H84" s="12"/>
    </x:row>
    <x:row r="85">
      <x:c r="B85" s="12"/>
      <x:c r="C85" s="12"/>
      <x:c r="D85" s="12"/>
      <x:c r="E85" s="12"/>
      <x:c r="F85" s="12"/>
      <x:c r="G85" s="12"/>
      <x:c r="H85" s="12"/>
    </x:row>
    <x:row r="86">
      <x:c r="B86" s="12"/>
      <x:c r="C86" s="12"/>
      <x:c r="D86" s="12"/>
      <x:c r="E86" s="12"/>
      <x:c r="F86" s="12"/>
      <x:c r="G86" s="12"/>
      <x:c r="H86" s="12"/>
    </x:row>
    <x:row r="87">
      <x:c r="B87" s="12"/>
      <x:c r="C87" s="12"/>
      <x:c r="D87" s="12"/>
      <x:c r="E87" s="12"/>
      <x:c r="F87" s="12"/>
      <x:c r="G87" s="12"/>
      <x:c r="H87" s="12"/>
    </x:row>
    <x:row r="88">
      <x:c r="B88" s="12"/>
      <x:c r="C88" s="12"/>
      <x:c r="D88" s="12"/>
      <x:c r="E88" s="12"/>
      <x:c r="F88" s="12"/>
      <x:c r="G88" s="12"/>
      <x:c r="H88" s="12"/>
    </x:row>
    <x:row r="89">
      <x:c r="B89" s="12"/>
      <x:c r="C89" s="12"/>
      <x:c r="D89" s="12"/>
      <x:c r="E89" s="12"/>
      <x:c r="F89" s="12"/>
      <x:c r="G89" s="12"/>
      <x:c r="H89" s="12"/>
    </x:row>
    <x:row r="90">
      <x:c r="B90" s="12"/>
      <x:c r="C90" s="12"/>
      <x:c r="D90" s="12"/>
      <x:c r="E90" s="12"/>
      <x:c r="F90" s="12"/>
      <x:c r="G90" s="12"/>
      <x:c r="H90" s="12"/>
    </x:row>
    <x:row r="91">
      <x:c r="B91" s="12"/>
      <x:c r="C91" s="12"/>
      <x:c r="D91" s="12"/>
      <x:c r="E91" s="12"/>
      <x:c r="F91" s="12"/>
      <x:c r="G91" s="12"/>
      <x:c r="H91" s="12"/>
    </x:row>
    <x:row r="92">
      <x:c r="B92" s="12"/>
      <x:c r="C92" s="12"/>
      <x:c r="D92" s="12"/>
      <x:c r="E92" s="12"/>
      <x:c r="F92" s="12"/>
      <x:c r="G92" s="12"/>
      <x:c r="H92" s="12"/>
    </x:row>
    <x:row r="93">
      <x:c r="B93" s="12"/>
      <x:c r="C93" s="12"/>
      <x:c r="D93" s="12"/>
      <x:c r="E93" s="12"/>
      <x:c r="F93" s="12"/>
      <x:c r="G93" s="12"/>
      <x:c r="H93" s="12"/>
    </x:row>
    <x:row r="94">
      <x:c r="B94" s="12"/>
      <x:c r="C94" s="12"/>
      <x:c r="D94" s="12"/>
      <x:c r="E94" s="12"/>
      <x:c r="F94" s="12"/>
      <x:c r="G94" s="12"/>
      <x:c r="H94" s="12"/>
    </x:row>
    <x:row r="95">
      <x:c r="B95" s="12"/>
      <x:c r="C95" s="12"/>
      <x:c r="D95" s="12"/>
      <x:c r="E95" s="12"/>
      <x:c r="F95" s="12"/>
      <x:c r="G95" s="12"/>
      <x:c r="H95" s="12"/>
    </x:row>
    <x:row r="96">
      <x:c r="B96" s="12"/>
      <x:c r="C96" s="12"/>
      <x:c r="D96" s="12"/>
      <x:c r="E96" s="12"/>
      <x:c r="F96" s="12"/>
      <x:c r="G96" s="12"/>
      <x:c r="H96" s="12"/>
    </x:row>
    <x:row r="97">
      <x:c r="B97" s="12"/>
      <x:c r="C97" s="12"/>
      <x:c r="D97" s="12"/>
      <x:c r="E97" s="12"/>
      <x:c r="F97" s="12"/>
      <x:c r="G97" s="12"/>
      <x:c r="H97" s="12"/>
    </x:row>
    <x:row r="98">
      <x:c r="B98" s="12"/>
      <x:c r="C98" s="12"/>
      <x:c r="D98" s="12"/>
      <x:c r="E98" s="12"/>
      <x:c r="F98" s="12"/>
      <x:c r="G98" s="12"/>
      <x:c r="H98" s="12"/>
    </x:row>
    <x:row r="99">
      <x:c r="B99" s="12"/>
      <x:c r="C99" s="12"/>
      <x:c r="D99" s="12"/>
      <x:c r="E99" s="12"/>
      <x:c r="F99" s="12"/>
      <x:c r="G99" s="12"/>
      <x:c r="H99" s="12"/>
    </x:row>
    <x:row r="100">
      <x:c r="B100" s="12"/>
      <x:c r="C100" s="12"/>
      <x:c r="D100" s="12"/>
      <x:c r="E100" s="12"/>
      <x:c r="F100" s="12"/>
      <x:c r="G100" s="12"/>
      <x:c r="H100" s="12"/>
    </x:row>
    <x:row r="101">
      <x:c r="B101" s="12"/>
      <x:c r="C101" s="12"/>
      <x:c r="D101" s="12"/>
      <x:c r="E101" s="12"/>
      <x:c r="F101" s="12"/>
      <x:c r="G101" s="12"/>
      <x:c r="H101" s="12"/>
    </x:row>
    <x:row r="102">
      <x:c r="B102" s="12"/>
      <x:c r="C102" s="12"/>
      <x:c r="D102" s="12"/>
      <x:c r="E102" s="12"/>
      <x:c r="F102" s="12"/>
      <x:c r="G102" s="12"/>
      <x:c r="H102" s="12"/>
    </x:row>
    <x:row r="103">
      <x:c r="B103" s="12"/>
      <x:c r="C103" s="12"/>
      <x:c r="D103" s="12"/>
      <x:c r="E103" s="12"/>
      <x:c r="F103" s="12"/>
      <x:c r="G103" s="12"/>
      <x:c r="H103" s="12"/>
    </x:row>
    <x:row r="104">
      <x:c r="B104" s="12"/>
      <x:c r="C104" s="12"/>
      <x:c r="D104" s="12"/>
      <x:c r="E104" s="12"/>
      <x:c r="F104" s="12"/>
      <x:c r="G104" s="12"/>
      <x:c r="H104" s="12"/>
    </x:row>
    <x:row r="105">
      <x:c r="B105" s="12"/>
      <x:c r="C105" s="12"/>
      <x:c r="D105" s="12"/>
      <x:c r="E105" s="12"/>
      <x:c r="F105" s="12"/>
      <x:c r="G105" s="12"/>
      <x:c r="H105" s="12"/>
    </x:row>
    <x:row r="106">
      <x:c r="B106" s="12"/>
      <x:c r="C106" s="12"/>
      <x:c r="D106" s="12"/>
      <x:c r="E106" s="12"/>
      <x:c r="F106" s="12"/>
      <x:c r="G106" s="12"/>
      <x:c r="H106" s="12"/>
    </x:row>
    <x:row r="107">
      <x:c r="B107" s="12"/>
      <x:c r="C107" s="12"/>
      <x:c r="D107" s="12"/>
      <x:c r="E107" s="12"/>
      <x:c r="F107" s="12"/>
      <x:c r="G107" s="12"/>
      <x:c r="H107" s="12"/>
    </x:row>
    <x:row r="108">
      <x:c r="B108" s="12"/>
      <x:c r="C108" s="12"/>
      <x:c r="D108" s="12"/>
      <x:c r="E108" s="12"/>
      <x:c r="F108" s="12"/>
      <x:c r="G108" s="12"/>
      <x:c r="H108" s="12"/>
    </x:row>
    <x:row r="109">
      <x:c r="B109" s="12"/>
      <x:c r="C109" s="12"/>
      <x:c r="D109" s="12"/>
      <x:c r="E109" s="12"/>
      <x:c r="F109" s="12"/>
      <x:c r="G109" s="12"/>
      <x:c r="H109" s="12"/>
    </x:row>
    <x:row r="110">
      <x:c r="B110" s="12"/>
      <x:c r="C110" s="12"/>
      <x:c r="D110" s="12"/>
      <x:c r="E110" s="12"/>
      <x:c r="F110" s="12"/>
      <x:c r="G110" s="12"/>
      <x:c r="H110" s="12"/>
    </x:row>
    <x:row r="111">
      <x:c r="B111" s="12"/>
      <x:c r="C111" s="12"/>
      <x:c r="D111" s="12"/>
      <x:c r="E111" s="12"/>
      <x:c r="F111" s="12"/>
      <x:c r="G111" s="12"/>
      <x:c r="H111" s="12"/>
    </x:row>
    <x:row r="112">
      <x:c r="B112" s="12"/>
      <x:c r="C112" s="12"/>
      <x:c r="D112" s="12"/>
      <x:c r="E112" s="12"/>
      <x:c r="F112" s="12"/>
      <x:c r="G112" s="12"/>
      <x:c r="H112" s="12"/>
    </x:row>
    <x:row r="113">
      <x:c r="B113" s="12"/>
      <x:c r="C113" s="12"/>
      <x:c r="D113" s="12"/>
      <x:c r="E113" s="12"/>
      <x:c r="F113" s="12"/>
      <x:c r="G113" s="12"/>
      <x:c r="H113" s="12"/>
    </x:row>
    <x:row r="114">
      <x:c r="B114" s="12"/>
      <x:c r="C114" s="12"/>
      <x:c r="D114" s="12"/>
      <x:c r="E114" s="12"/>
      <x:c r="F114" s="12"/>
      <x:c r="G114" s="12"/>
      <x:c r="H114" s="12"/>
    </x:row>
    <x:row r="115">
      <x:c r="B115" s="12"/>
      <x:c r="C115" s="12"/>
      <x:c r="D115" s="12"/>
      <x:c r="E115" s="12"/>
      <x:c r="F115" s="12"/>
      <x:c r="G115" s="12"/>
      <x:c r="H115" s="12"/>
    </x:row>
    <x:row r="116">
      <x:c r="B116" s="12"/>
      <x:c r="C116" s="12"/>
      <x:c r="D116" s="12"/>
      <x:c r="E116" s="12"/>
      <x:c r="F116" s="12"/>
      <x:c r="G116" s="12"/>
      <x:c r="H116" s="12"/>
    </x:row>
    <x:row r="117">
      <x:c r="B117" s="12"/>
      <x:c r="C117" s="12"/>
      <x:c r="D117" s="12"/>
      <x:c r="E117" s="12"/>
      <x:c r="F117" s="12"/>
      <x:c r="G117" s="12"/>
      <x:c r="H117" s="12"/>
    </x:row>
    <x:row r="118">
      <x:c r="B118" s="12"/>
      <x:c r="C118" s="12"/>
      <x:c r="D118" s="12"/>
      <x:c r="E118" s="12"/>
      <x:c r="F118" s="12"/>
      <x:c r="G118" s="12"/>
      <x:c r="H118" s="12"/>
    </x:row>
    <x:row r="119">
      <x:c r="B119" s="12"/>
      <x:c r="C119" s="12"/>
      <x:c r="D119" s="12"/>
      <x:c r="E119" s="12"/>
      <x:c r="F119" s="12"/>
      <x:c r="G119" s="12"/>
      <x:c r="H119" s="12"/>
    </x:row>
    <x:row r="120">
      <x:c r="B120" s="12"/>
      <x:c r="C120" s="12"/>
      <x:c r="D120" s="12"/>
      <x:c r="E120" s="12"/>
      <x:c r="F120" s="12"/>
      <x:c r="G120" s="12"/>
      <x:c r="H120" s="12"/>
    </x:row>
    <x:row r="121">
      <x:c r="B121" s="12"/>
      <x:c r="C121" s="12"/>
      <x:c r="D121" s="12"/>
      <x:c r="E121" s="12"/>
      <x:c r="F121" s="12"/>
      <x:c r="G121" s="12"/>
      <x:c r="H121" s="12"/>
    </x:row>
    <x:row r="122">
      <x:c r="B122" s="12"/>
      <x:c r="C122" s="12"/>
      <x:c r="D122" s="12"/>
      <x:c r="E122" s="12"/>
      <x:c r="F122" s="12"/>
      <x:c r="G122" s="12"/>
      <x:c r="H122" s="12"/>
    </x:row>
    <x:row r="123">
      <x:c r="B123" s="12"/>
      <x:c r="C123" s="12"/>
      <x:c r="D123" s="12"/>
      <x:c r="E123" s="12"/>
      <x:c r="F123" s="12"/>
      <x:c r="G123" s="12"/>
      <x:c r="H123" s="12"/>
    </x:row>
    <x:row r="124">
      <x:c r="B124" s="12"/>
      <x:c r="C124" s="12"/>
      <x:c r="D124" s="12"/>
      <x:c r="E124" s="12"/>
      <x:c r="F124" s="12"/>
      <x:c r="G124" s="12"/>
      <x:c r="H124" s="12"/>
    </x:row>
    <x:row r="125">
      <x:c r="B125" s="12"/>
      <x:c r="C125" s="12"/>
      <x:c r="D125" s="12"/>
      <x:c r="E125" s="12"/>
      <x:c r="F125" s="12"/>
      <x:c r="G125" s="12"/>
      <x:c r="H125" s="12"/>
    </x:row>
  </x:sheetData>
  <x:mergeCells>
    <x:mergeCell ref="A1:J2"/>
    <x:mergeCell ref="A3:J3"/>
    <x:mergeCell ref="A5:J5"/>
    <x:mergeCell ref="A20:J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51" hidden="0" customWidth="1"/>
    <x:col min="10" max="10" width="70" hidden="0" customWidth="1"/>
  </x:cols>
  <x:sheetData>
    <x:row r="1" ht="23" customHeight="1">
      <x:c r="A1" s="74" t="str">
        <x:v>SMSM | Historical Financials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23" customHeight="1">
      <x:c r="A2" s="74"/>
      <x:c r="B2" s="74"/>
      <x:c r="C2" s="74"/>
      <x:c r="D2" s="74"/>
      <x:c r="E2" s="74"/>
      <x:c r="F2" s="74"/>
      <x:c r="G2" s="74"/>
      <x:c r="H2" s="74"/>
      <x:c r="I2" s="74"/>
      <x:c r="J2" s="74"/>
    </x:row>
    <x:row r="3" ht="25" customHeight="1">
      <x:c r="A3" s="75" t="str">
        <x:v>Rp million • 2023 restated by FY2024 audit; FY2024 CFO per FY2025 audit</x:v>
      </x:c>
      <x:c r="B3" s="75"/>
      <x:c r="C3" s="75"/>
      <x:c r="D3" s="75"/>
      <x:c r="E3" s="75"/>
      <x:c r="F3" s="75"/>
      <x:c r="G3" s="75"/>
      <x:c r="H3" s="75"/>
      <x:c r="I3" s="75"/>
      <x:c r="J3" s="75"/>
    </x:row>
    <x:row r="5">
      <x:c r="B5" s="12"/>
      <x:c r="C5" s="12"/>
      <x:c r="D5" s="12"/>
      <x:c r="E5" s="12"/>
      <x:c r="F5" s="12"/>
      <x:c r="G5" s="12"/>
      <x:c r="H5" s="12"/>
    </x:row>
    <x:row r="6" ht="25" customHeight="1">
      <x:c r="A6" s="28" t="str">
        <x:v>Metric</x:v>
      </x:c>
      <x:c r="B6" s="58" t="str">
        <x:v>FY2021 R</x:v>
      </x:c>
      <x:c r="C6" s="58" t="str">
        <x:v>FY2022 R</x:v>
      </x:c>
      <x:c r="D6" s="58" t="str">
        <x:v>FY2023 RS</x:v>
      </x:c>
      <x:c r="E6" s="58" t="str">
        <x:v>FY2024 R</x:v>
      </x:c>
      <x:c r="F6" s="58" t="str">
        <x:v>FY2025 R</x:v>
      </x:c>
      <x:c r="G6" s="58" t="str">
        <x:v>H1 2026 R</x:v>
      </x:c>
      <x:c r="H6" s="58" t="str">
        <x:v>Type</x:v>
      </x:c>
      <x:c r="I6" s="28" t="str">
        <x:v>Source document</x:v>
      </x:c>
      <x:c r="J6" s="28" t="str">
        <x:v>Audit / mapping note</x:v>
      </x:c>
    </x:row>
    <x:row r="7">
      <x:c r="A7" s="50" t="str">
        <x:v>Revenue</x:v>
      </x:c>
      <x:c r="B7" s="36" t="n">
        <x:v>4162931</x:v>
      </x:c>
      <x:c r="C7" s="36" t="n">
        <x:v>4894164</x:v>
      </x:c>
      <x:c r="D7" s="36" t="n">
        <x:v>5108399</x:v>
      </x:c>
      <x:c r="E7" s="36" t="n">
        <x:v>5164985</x:v>
      </x:c>
      <x:c r="F7" s="36" t="n">
        <x:v>5338789</x:v>
      </x:c>
      <x:c r="G7" s="36" t="n">
        <x:v>2649138</x:v>
      </x:c>
      <x:c r="H7" s="12" t="str">
        <x:v>R / RS</x:v>
      </x:c>
      <x:c r="I7" t="str">
        <x:v>FY2024 audited (2023 RS) / FY2025 audited / 2026 interim</x:v>
      </x:c>
      <x:c r="J7" t="str">
        <x:v>FY2021–22 prior annual-report series; 2023 RS for common control; H1 figures NOT annualized</x:v>
      </x:c>
    </x:row>
    <x:row r="8">
      <x:c r="A8" s="50" t="str">
        <x:v>Operating profit (EBIT)</x:v>
      </x:c>
      <x:c r="B8" s="36" t="n">
        <x:v>930840</x:v>
      </x:c>
      <x:c r="C8" s="36" t="n">
        <x:v>1173516</x:v>
      </x:c>
      <x:c r="D8" s="36" t="n">
        <x:v>1282062</x:v>
      </x:c>
      <x:c r="E8" s="36" t="n">
        <x:v>1374930</x:v>
      </x:c>
      <x:c r="F8" s="36" t="n">
        <x:v>1502192</x:v>
      </x:c>
      <x:c r="G8" s="36" t="n">
        <x:v>734043</x:v>
      </x:c>
      <x:c r="H8" s="12" t="str">
        <x:v>R / RS</x:v>
      </x:c>
      <x:c r="I8" t="str">
        <x:v>FY2024 audited (2023 RS) / FY2025 audited / 2026 interim</x:v>
      </x:c>
      <x:c r="J8" t="str">
        <x:v>FY2021–22 prior annual-report series; 2023 RS for common control; H1 figures NOT annualized</x:v>
      </x:c>
    </x:row>
    <x:row r="9">
      <x:c r="A9" s="50" t="str">
        <x:v>Consolidated net profit</x:v>
      </x:c>
      <x:c r="B9" s="36" t="n">
        <x:v>728263</x:v>
      </x:c>
      <x:c r="C9" s="36" t="n">
        <x:v>935944</x:v>
      </x:c>
      <x:c r="D9" s="36" t="n">
        <x:v>1038295</x:v>
      </x:c>
      <x:c r="E9" s="36" t="n">
        <x:v>1117900</x:v>
      </x:c>
      <x:c r="F9" s="36" t="n">
        <x:v>1220328</x:v>
      </x:c>
      <x:c r="G9" s="36" t="n">
        <x:v>601783</x:v>
      </x:c>
      <x:c r="H9" s="12" t="str">
        <x:v>R / RS</x:v>
      </x:c>
      <x:c r="I9" t="str">
        <x:v>FY2024 audited (2023 RS) / FY2025 audited / 2026 interim</x:v>
      </x:c>
      <x:c r="J9" t="str">
        <x:v>FY2021–22 prior annual-report series; 2023 RS for common control; H1 figures NOT annualized</x:v>
      </x:c>
    </x:row>
    <x:row r="10">
      <x:c r="A10" s="50" t="str">
        <x:v>Net profit attributable to parent</x:v>
      </x:c>
      <x:c r="B10" s="36" t="n">
        <x:v>662041</x:v>
      </x:c>
      <x:c r="C10" s="36" t="n">
        <x:v>848315</x:v>
      </x:c>
      <x:c r="D10" s="36" t="n">
        <x:v>945950</x:v>
      </x:c>
      <x:c r="E10" s="36" t="n">
        <x:v>1024180</x:v>
      </x:c>
      <x:c r="F10" s="36" t="n">
        <x:v>1124703</x:v>
      </x:c>
      <x:c r="G10" s="36" t="n">
        <x:v>550982</x:v>
      </x:c>
      <x:c r="H10" s="12" t="str">
        <x:v>R / RS</x:v>
      </x:c>
      <x:c r="I10" t="str">
        <x:v>FY2024 audited (2023 RS) / FY2025 audited / 2026 interim</x:v>
      </x:c>
      <x:c r="J10" t="str">
        <x:v>FY2021–22 prior annual-report series; 2023 RS for common control; H1 figures NOT annualized</x:v>
      </x:c>
    </x:row>
    <x:row r="11">
      <x:c r="A11" s="50" t="str">
        <x:v>Income tax expense</x:v>
      </x:c>
      <x:c r="B11" s="36" t="n">
        <x:v>193905</x:v>
      </x:c>
      <x:c r="C11" s="36" t="n">
        <x:v>236058</x:v>
      </x:c>
      <x:c r="D11" s="36" t="n">
        <x:v>263432</x:v>
      </x:c>
      <x:c r="E11" s="36" t="n">
        <x:v>283977</x:v>
      </x:c>
      <x:c r="F11" s="36" t="n">
        <x:v>312049</x:v>
      </x:c>
      <x:c r="G11" s="36" t="n">
        <x:v>146856</x:v>
      </x:c>
      <x:c r="H11" s="12" t="str">
        <x:v>R / RS</x:v>
      </x:c>
      <x:c r="I11" t="str">
        <x:v>FY2024 audited (2023 RS) / FY2025 audited / 2026 interim</x:v>
      </x:c>
      <x:c r="J11" t="str">
        <x:v>FY2021–22 prior annual-report series; 2023 RS for common control; H1 figures NOT annualized</x:v>
      </x:c>
    </x:row>
    <x:row r="12">
      <x:c r="A12" s="50" t="str">
        <x:v>Operating cash flow (CFO)</x:v>
      </x:c>
      <x:c r="B12" s="36" t="n">
        <x:v>493121</x:v>
      </x:c>
      <x:c r="C12" s="36" t="n">
        <x:v>1063865</x:v>
      </x:c>
      <x:c r="D12" s="36" t="n">
        <x:v>1116893</x:v>
      </x:c>
      <x:c r="E12" s="36" t="n">
        <x:v>1147857</x:v>
      </x:c>
      <x:c r="F12" s="36" t="n">
        <x:v>1123930</x:v>
      </x:c>
      <x:c r="G12" s="36" t="n">
        <x:v>354494</x:v>
      </x:c>
      <x:c r="H12" s="12" t="str">
        <x:v>R / RS</x:v>
      </x:c>
      <x:c r="I12" t="str">
        <x:v>FY2024 audited (2023 RS) / FY2025 audited / 2026 interim</x:v>
      </x:c>
      <x:c r="J12" t="str">
        <x:v>FY2021–22 prior annual-report series; 2023 RS for common control; H1 figures NOT annualized</x:v>
      </x:c>
    </x:row>
    <x:row r="13">
      <x:c r="A13" s="50" t="str">
        <x:v>Fixed asset depreciation</x:v>
      </x:c>
      <x:c r="B13" s="36" t="n">
        <x:v>112561</x:v>
      </x:c>
      <x:c r="C13" s="36" t="n">
        <x:v>117609</x:v>
      </x:c>
      <x:c r="D13" s="36" t="n">
        <x:v>129160</x:v>
      </x:c>
      <x:c r="E13" s="36" t="n">
        <x:v>135806</x:v>
      </x:c>
      <x:c r="F13" s="36" t="n">
        <x:v>152464</x:v>
      </x:c>
      <x:c r="G13" s="36" t="n">
        <x:v>81071</x:v>
      </x:c>
      <x:c r="H13" s="12" t="str">
        <x:v>R / RS</x:v>
      </x:c>
      <x:c r="I13" t="str">
        <x:v>FY2024 audited (2023 RS) / FY2025 audited / 2026 interim</x:v>
      </x:c>
      <x:c r="J13" t="str">
        <x:v>FY2021–22 prior annual-report series; 2023 RS for common control; H1 figures NOT annualized</x:v>
      </x:c>
    </x:row>
    <x:row r="14">
      <x:c r="A14" s="50" t="str">
        <x:v>Right-of-use depreciation</x:v>
      </x:c>
      <x:c r="B14" s="36" t="n">
        <x:v>26493</x:v>
      </x:c>
      <x:c r="C14" s="36" t="n">
        <x:v>24921</x:v>
      </x:c>
      <x:c r="D14" s="36" t="n">
        <x:v>29472</x:v>
      </x:c>
      <x:c r="E14" s="36" t="n">
        <x:v>30092</x:v>
      </x:c>
      <x:c r="F14" s="36" t="n">
        <x:v>29798</x:v>
      </x:c>
      <x:c r="G14" s="36" t="n">
        <x:v>16895</x:v>
      </x:c>
      <x:c r="H14" s="12" t="str">
        <x:v>R / RS</x:v>
      </x:c>
      <x:c r="I14" t="str">
        <x:v>FY2024 audited (2023 RS) / FY2025 audited / 2026 interim</x:v>
      </x:c>
      <x:c r="J14" t="str">
        <x:v>FY2021–22 prior annual-report series; 2023 RS for common control; H1 figures NOT annualized</x:v>
      </x:c>
    </x:row>
    <x:row r="15">
      <x:c r="A15" s="50" t="str">
        <x:v>Intangible amortization</x:v>
      </x:c>
      <x:c r="B15" s="36" t="n">
        <x:v>3714</x:v>
      </x:c>
      <x:c r="C15" s="36" t="n">
        <x:v>4073</x:v>
      </x:c>
      <x:c r="D15" s="36" t="n">
        <x:v>5699</x:v>
      </x:c>
      <x:c r="E15" s="36" t="n">
        <x:v>7036</x:v>
      </x:c>
      <x:c r="F15" s="36" t="n">
        <x:v>2032</x:v>
      </x:c>
      <x:c r="G15" s="36" t="n">
        <x:v>950</x:v>
      </x:c>
      <x:c r="H15" s="12" t="str">
        <x:v>R / RS</x:v>
      </x:c>
      <x:c r="I15" t="str">
        <x:v>FY2024 audited (2023 RS) / FY2025 audited / 2026 interim</x:v>
      </x:c>
      <x:c r="J15" t="str">
        <x:v>FY2021–22 prior annual-report series; 2023 RS for common control; H1 figures NOT annualized</x:v>
      </x:c>
    </x:row>
    <x:row r="16">
      <x:c r="A16" s="50" t="str">
        <x:v>Cash purchase of fixed assets</x:v>
      </x:c>
      <x:c r="B16" s="36" t="n">
        <x:v>135696</x:v>
      </x:c>
      <x:c r="C16" s="36" t="n">
        <x:v>203895</x:v>
      </x:c>
      <x:c r="D16" s="36" t="n">
        <x:v>87553</x:v>
      </x:c>
      <x:c r="E16" s="36" t="n">
        <x:v>126002</x:v>
      </x:c>
      <x:c r="F16" s="36" t="n">
        <x:v>136026</x:v>
      </x:c>
      <x:c r="G16" s="36" t="n">
        <x:v>60192</x:v>
      </x:c>
      <x:c r="H16" s="12" t="str">
        <x:v>R / RS</x:v>
      </x:c>
      <x:c r="I16" t="str">
        <x:v>FY2024 audited (2023 RS) / FY2025 audited / 2026 interim</x:v>
      </x:c>
      <x:c r="J16" t="str">
        <x:v>FY2021–22 prior annual-report series; 2023 RS for common control; H1 figures NOT annualized</x:v>
      </x:c>
    </x:row>
    <x:row r="17">
      <x:c r="A17" s="50" t="str">
        <x:v>Cash advances for fixed-asset purchases</x:v>
      </x:c>
      <x:c r="B17" s="36" t="n">
        <x:v>28830</x:v>
      </x:c>
      <x:c r="C17" s="36" t="n">
        <x:v>61797</x:v>
      </x:c>
      <x:c r="D17" s="36" t="n">
        <x:v>88107</x:v>
      </x:c>
      <x:c r="E17" s="36" t="n">
        <x:v>84219</x:v>
      </x:c>
      <x:c r="F17" s="36" t="n">
        <x:v>69015</x:v>
      </x:c>
      <x:c r="G17" s="36" t="n">
        <x:v>36996</x:v>
      </x:c>
      <x:c r="H17" s="12" t="str">
        <x:v>R / RS</x:v>
      </x:c>
      <x:c r="I17" t="str">
        <x:v>FY2024 audited (2023 RS) / FY2025 audited / 2026 interim</x:v>
      </x:c>
      <x:c r="J17" t="str">
        <x:v>FY2021–22 prior annual-report series; 2023 RS for common control; H1 figures NOT annualized</x:v>
      </x:c>
    </x:row>
    <x:row r="18">
      <x:c r="A18" s="50" t="str">
        <x:v>Cash purchase of intangibles</x:v>
      </x:c>
      <x:c r="B18" s="36" t="n">
        <x:v>5295</x:v>
      </x:c>
      <x:c r="C18" s="36" t="n">
        <x:v>4601</x:v>
      </x:c>
      <x:c r="D18" s="36" t="n">
        <x:v>5325</x:v>
      </x:c>
      <x:c r="E18" s="36" t="n">
        <x:v>184</x:v>
      </x:c>
      <x:c r="F18" s="12"/>
      <x:c r="G18" s="12"/>
      <x:c r="H18" s="12" t="str">
        <x:v>R / RS / U</x:v>
      </x:c>
      <x:c r="I18" t="str">
        <x:v>FY2024 audited (2023 RS) / FY2025 audited / 2026 interim</x:v>
      </x:c>
      <x:c r="J18" t="str">
        <x:v>FY2025/H1 2026 intangible cash purchases not separately identified; NOT substitute zero for 'unverified'.</x:v>
      </x:c>
    </x:row>
    <x:row r="19">
      <x:c r="A19" s="50"/>
      <x:c r="B19" s="12"/>
      <x:c r="C19" s="12"/>
      <x:c r="D19" s="12"/>
      <x:c r="E19" s="12"/>
      <x:c r="F19" s="12"/>
      <x:c r="G19" s="12"/>
      <x:c r="H19" s="12"/>
    </x:row>
    <x:row r="20" ht="23" customHeight="1">
      <x:c r="A20" s="51" t="str">
        <x:v>DERIVED FINANCIAL MEASURES — FORMULAS</x:v>
      </x:c>
      <x:c r="B20" s="16"/>
      <x:c r="C20" s="16"/>
      <x:c r="D20" s="16"/>
      <x:c r="E20" s="16"/>
      <x:c r="F20" s="16"/>
      <x:c r="G20" s="16"/>
      <x:c r="H20" s="16"/>
      <x:c r="I20" s="15"/>
      <x:c r="J20" s="15"/>
    </x:row>
    <x:row r="21">
      <x:c r="A21" s="62" t="str">
        <x:v>Total D&amp;A</x:v>
      </x:c>
      <x:c r="B21" s="63" t="n">
        <x:f>SUM(B13:B15)</x:f>
        <x:v>142768</x:v>
      </x:c>
      <x:c r="C21" s="63" t="n">
        <x:f>SUM(C13:C15)</x:f>
        <x:v>146603</x:v>
      </x:c>
      <x:c r="D21" s="63" t="n">
        <x:f>SUM(D13:D15)</x:f>
        <x:v>164331</x:v>
      </x:c>
      <x:c r="E21" s="63" t="n">
        <x:f>SUM(E13:E15)</x:f>
        <x:v>172934</x:v>
      </x:c>
      <x:c r="F21" s="63" t="n">
        <x:f>SUM(F13:F15)</x:f>
        <x:v>184294</x:v>
      </x:c>
      <x:c r="G21" s="63" t="n">
        <x:f>SUM(G13:G15)</x:f>
        <x:v>98916</x:v>
      </x:c>
      <x:c r="H21" s="12"/>
    </x:row>
    <x:row r="22">
      <x:c r="A22" s="62" t="str">
        <x:v>Unadjusted EBITDA = EBIT + total D&amp;A</x:v>
      </x:c>
      <x:c r="B22" s="63" t="n">
        <x:f>SUM(B8,B21)</x:f>
        <x:v>1073608</x:v>
      </x:c>
      <x:c r="C22" s="63" t="n">
        <x:f>SUM(C8,C21)</x:f>
        <x:v>1320119</x:v>
      </x:c>
      <x:c r="D22" s="63" t="n">
        <x:f>SUM(D8,D21)</x:f>
        <x:v>1446393</x:v>
      </x:c>
      <x:c r="E22" s="63" t="n">
        <x:f>SUM(E8,E21)</x:f>
        <x:v>1547864</x:v>
      </x:c>
      <x:c r="F22" s="63" t="n">
        <x:f>SUM(F8,F21)</x:f>
        <x:v>1686486</x:v>
      </x:c>
      <x:c r="G22" s="63" t="n">
        <x:f>SUM(G8,G21)</x:f>
        <x:v>832959</x:v>
      </x:c>
      <x:c r="H22" s="12"/>
    </x:row>
    <x:row r="23">
      <x:c r="A23" s="50" t="str">
        <x:v>EBIT margin</x:v>
      </x:c>
      <x:c r="B23" s="40" t="n">
        <x:f>IFERROR(B8/B7,0)</x:f>
        <x:v>0.22360207267427684</x:v>
      </x:c>
      <x:c r="C23" s="40" t="n">
        <x:f>IFERROR(C8/C7,0)</x:f>
        <x:v>0.2397786424811265</x:v>
      </x:c>
      <x:c r="D23" s="40" t="n">
        <x:f>IFERROR(D8/D7,0)</x:f>
        <x:v>0.2509713904493365</x:v>
      </x:c>
      <x:c r="E23" s="40" t="n">
        <x:f>IFERROR(E8/E7,0)</x:f>
        <x:v>0.26620212837016954</x:v>
      </x:c>
      <x:c r="F23" s="40" t="n">
        <x:f>IFERROR(F8/F7,0)</x:f>
        <x:v>0.28137317283001817</x:v>
      </x:c>
      <x:c r="G23" s="40" t="n">
        <x:f>IFERROR(G8/G7,0)</x:f>
        <x:v>0.2770874903459163</x:v>
      </x:c>
      <x:c r="H23" s="12"/>
    </x:row>
    <x:row r="24">
      <x:c r="A24" s="50" t="str">
        <x:v>Observed income-tax expense / PBT</x:v>
      </x:c>
      <x:c r="B24" s="40" t="n">
        <x:f>IFERROR(B11/(B9+B11),0)</x:f>
        <x:v>0.21027079664442921</x:v>
      </x:c>
      <x:c r="C24" s="40" t="n">
        <x:f>IFERROR(C11/(C9+C11),0)</x:f>
        <x:v>0.20141433205745382</x:v>
      </x:c>
      <x:c r="D24" s="40" t="n">
        <x:f>IFERROR(D11/(D9+D11),0)</x:f>
        <x:v>0.20237115770050096</x:v>
      </x:c>
      <x:c r="E24" s="40" t="n">
        <x:f>IFERROR(E11/(E9+E11),0)</x:f>
        <x:v>0.20256912696334986</x:v>
      </x:c>
      <x:c r="F24" s="40" t="n">
        <x:f>IFERROR(F11/(F9+F11),0)</x:f>
        <x:v>0.20363722504318454</x:v>
      </x:c>
      <x:c r="G24" s="40" t="n">
        <x:f>IFERROR(G11/(G9+G11),0)</x:f>
        <x:v>0.19616397222159146</x:v>
      </x:c>
      <x:c r="H24" s="12"/>
    </x:row>
    <x:row r="25">
      <x:c r="A25" s="50" t="str">
        <x:v>Revenue YoY (annual-to-annual only)</x:v>
      </x:c>
      <x:c r="B25" s="41"/>
      <x:c r="C25" s="40" t="n">
        <x:f>IFERROR(C7/B7-1,0)</x:f>
        <x:v>0.17565340381572492</x:v>
      </x:c>
      <x:c r="D25" s="40" t="n">
        <x:f>IFERROR(D7/C7-1,0)</x:f>
        <x:v>0.04377356377922759</x:v>
      </x:c>
      <x:c r="E25" s="40" t="n">
        <x:f>IFERROR(E7/D7-1,0)</x:f>
        <x:v>0.011077051733821008</x:v>
      </x:c>
      <x:c r="F25" s="40" t="n">
        <x:f>IFERROR(F7/E7-1,0)</x:f>
        <x:v>0.0336504365453143</x:v>
      </x:c>
      <x:c r="G25" s="41"/>
      <x:c r="H25" s="12"/>
    </x:row>
    <x:row r="26">
      <x:c r="A26" s="50"/>
      <x:c r="B26" s="12"/>
      <x:c r="C26" s="12"/>
      <x:c r="D26" s="12"/>
      <x:c r="E26" s="12"/>
      <x:c r="F26" s="12"/>
      <x:c r="G26" s="12"/>
      <x:c r="H26" s="12"/>
    </x:row>
    <x:row r="27">
      <x:c r="A27" s="50"/>
      <x:c r="B27" s="12"/>
      <x:c r="C27" s="12"/>
      <x:c r="D27" s="12"/>
      <x:c r="E27" s="12"/>
      <x:c r="F27" s="12"/>
      <x:c r="G27" s="12"/>
      <x:c r="H27" s="12"/>
    </x:row>
    <x:row r="28" ht="32" customHeight="1">
      <x:c r="A28" s="56" t="str">
        <x:v>CAUTION: EBITDA excludes neither disposal gains nor other operating FX movements. Refer to 03 Financial Normalization.</x:v>
      </x:c>
      <x:c r="B28" s="20"/>
      <x:c r="C28" s="20"/>
      <x:c r="D28" s="20"/>
      <x:c r="E28" s="20"/>
      <x:c r="F28" s="20"/>
      <x:c r="G28" s="20"/>
      <x:c r="H28" s="20"/>
      <x:c r="I28" s="21"/>
      <x:c r="J28" s="21"/>
    </x:row>
    <x:row r="29" ht="32" customHeight="1">
      <x:c r="A29" s="56" t="str">
        <x:v>FY2024 CFO 1,147,857m uses later FY2025 audited comparative; earlier 1,176,379m was different presentation by 28,522m FX impact.</x:v>
      </x:c>
      <x:c r="B29" s="20"/>
      <x:c r="C29" s="20"/>
      <x:c r="D29" s="20"/>
      <x:c r="E29" s="20"/>
      <x:c r="F29" s="20"/>
      <x:c r="G29" s="20"/>
      <x:c r="H29" s="20"/>
      <x:c r="I29" s="21"/>
      <x:c r="J29" s="21"/>
    </x:row>
    <x:row r="30">
      <x:c r="A30" s="50"/>
      <x:c r="B30" s="12"/>
      <x:c r="C30" s="12"/>
      <x:c r="D30" s="12"/>
      <x:c r="E30" s="12"/>
      <x:c r="F30" s="12"/>
      <x:c r="G30" s="12"/>
      <x:c r="H30" s="12"/>
    </x:row>
    <x:row r="31">
      <x:c r="A31" s="50"/>
      <x:c r="B31" s="12"/>
      <x:c r="C31" s="12"/>
      <x:c r="D31" s="12"/>
      <x:c r="E31" s="12"/>
      <x:c r="F31" s="12"/>
      <x:c r="G31" s="12"/>
      <x:c r="H31" s="12"/>
    </x:row>
    <x:row r="32">
      <x:c r="A32" s="50"/>
      <x:c r="B32" s="12"/>
      <x:c r="C32" s="12"/>
      <x:c r="D32" s="12"/>
      <x:c r="E32" s="12"/>
      <x:c r="F32" s="12"/>
      <x:c r="G32" s="12"/>
      <x:c r="H32" s="12"/>
    </x:row>
    <x:row r="33">
      <x:c r="A33" s="50"/>
      <x:c r="B33" s="12"/>
      <x:c r="C33" s="12"/>
      <x:c r="D33" s="12"/>
      <x:c r="E33" s="12"/>
      <x:c r="F33" s="12"/>
      <x:c r="G33" s="12"/>
      <x:c r="H33" s="12"/>
    </x:row>
    <x:row r="34">
      <x:c r="A34" s="50"/>
      <x:c r="B34" s="12"/>
      <x:c r="C34" s="12"/>
      <x:c r="D34" s="12"/>
      <x:c r="E34" s="12"/>
      <x:c r="F34" s="12"/>
      <x:c r="G34" s="12"/>
      <x:c r="H34" s="12"/>
    </x:row>
    <x:row r="35">
      <x:c r="A35" s="50"/>
      <x:c r="B35" s="12"/>
      <x:c r="C35" s="12"/>
      <x:c r="D35" s="12"/>
      <x:c r="E35" s="12"/>
      <x:c r="F35" s="12"/>
      <x:c r="G35" s="12"/>
      <x:c r="H35" s="12"/>
    </x:row>
    <x:row r="36">
      <x:c r="A36" s="50"/>
      <x:c r="B36" s="12"/>
      <x:c r="C36" s="12"/>
      <x:c r="D36" s="12"/>
      <x:c r="E36" s="12"/>
      <x:c r="F36" s="12"/>
      <x:c r="G36" s="12"/>
      <x:c r="H36" s="12"/>
    </x:row>
    <x:row r="37">
      <x:c r="A37" s="50"/>
      <x:c r="B37" s="12"/>
      <x:c r="C37" s="12"/>
      <x:c r="D37" s="12"/>
      <x:c r="E37" s="12"/>
      <x:c r="F37" s="12"/>
      <x:c r="G37" s="12"/>
      <x:c r="H37" s="12"/>
    </x:row>
    <x:row r="38">
      <x:c r="A38" s="50"/>
      <x:c r="B38" s="12"/>
      <x:c r="C38" s="12"/>
      <x:c r="D38" s="12"/>
      <x:c r="E38" s="12"/>
      <x:c r="F38" s="12"/>
      <x:c r="G38" s="12"/>
      <x:c r="H38" s="12"/>
    </x:row>
    <x:row r="39">
      <x:c r="A39" s="50"/>
      <x:c r="B39" s="12"/>
      <x:c r="C39" s="12"/>
      <x:c r="D39" s="12"/>
      <x:c r="E39" s="12"/>
      <x:c r="F39" s="12"/>
      <x:c r="G39" s="12"/>
      <x:c r="H39" s="12"/>
    </x:row>
    <x:row r="40">
      <x:c r="A40" s="50"/>
      <x:c r="B40" s="12"/>
      <x:c r="C40" s="12"/>
      <x:c r="D40" s="12"/>
      <x:c r="E40" s="12"/>
      <x:c r="F40" s="12"/>
      <x:c r="G40" s="12"/>
      <x:c r="H40" s="12"/>
    </x:row>
    <x:row r="41">
      <x:c r="A41" s="50"/>
      <x:c r="B41" s="12"/>
      <x:c r="C41" s="12"/>
      <x:c r="D41" s="12"/>
      <x:c r="E41" s="12"/>
      <x:c r="F41" s="12"/>
      <x:c r="G41" s="12"/>
      <x:c r="H41" s="12"/>
    </x:row>
    <x:row r="42">
      <x:c r="A42" s="50"/>
      <x:c r="B42" s="12"/>
      <x:c r="C42" s="12"/>
      <x:c r="D42" s="12"/>
      <x:c r="E42" s="12"/>
      <x:c r="F42" s="12"/>
      <x:c r="G42" s="12"/>
      <x:c r="H42" s="12"/>
    </x:row>
    <x:row r="43">
      <x:c r="A43" s="50"/>
      <x:c r="B43" s="12"/>
      <x:c r="C43" s="12"/>
      <x:c r="D43" s="12"/>
      <x:c r="E43" s="12"/>
      <x:c r="F43" s="12"/>
      <x:c r="G43" s="12"/>
      <x:c r="H43" s="12"/>
    </x:row>
    <x:row r="44">
      <x:c r="A44" s="50"/>
      <x:c r="B44" s="12"/>
      <x:c r="C44" s="12"/>
      <x:c r="D44" s="12"/>
      <x:c r="E44" s="12"/>
      <x:c r="F44" s="12"/>
      <x:c r="G44" s="12"/>
      <x:c r="H44" s="12"/>
    </x:row>
    <x:row r="45">
      <x:c r="A45" s="50"/>
      <x:c r="B45" s="12"/>
      <x:c r="C45" s="12"/>
      <x:c r="D45" s="12"/>
      <x:c r="E45" s="12"/>
      <x:c r="F45" s="12"/>
      <x:c r="G45" s="12"/>
      <x:c r="H45" s="12"/>
    </x:row>
    <x:row r="46">
      <x:c r="A46" s="50"/>
      <x:c r="B46" s="12"/>
      <x:c r="C46" s="12"/>
      <x:c r="D46" s="12"/>
      <x:c r="E46" s="12"/>
      <x:c r="F46" s="12"/>
      <x:c r="G46" s="12"/>
      <x:c r="H46" s="12"/>
    </x:row>
    <x:row r="47">
      <x:c r="A47" s="50"/>
      <x:c r="B47" s="12"/>
      <x:c r="C47" s="12"/>
      <x:c r="D47" s="12"/>
      <x:c r="E47" s="12"/>
      <x:c r="F47" s="12"/>
      <x:c r="G47" s="12"/>
      <x:c r="H47" s="12"/>
    </x:row>
    <x:row r="48">
      <x:c r="A48" s="50"/>
      <x:c r="B48" s="12"/>
      <x:c r="C48" s="12"/>
      <x:c r="D48" s="12"/>
      <x:c r="E48" s="12"/>
      <x:c r="F48" s="12"/>
      <x:c r="G48" s="12"/>
      <x:c r="H48" s="12"/>
    </x:row>
    <x:row r="49">
      <x:c r="A49" s="50"/>
      <x:c r="B49" s="12"/>
      <x:c r="C49" s="12"/>
      <x:c r="D49" s="12"/>
      <x:c r="E49" s="12"/>
      <x:c r="F49" s="12"/>
      <x:c r="G49" s="12"/>
      <x:c r="H49" s="12"/>
    </x:row>
    <x:row r="50">
      <x:c r="A50" s="50"/>
      <x:c r="B50" s="12"/>
      <x:c r="C50" s="12"/>
      <x:c r="D50" s="12"/>
      <x:c r="E50" s="12"/>
      <x:c r="F50" s="12"/>
      <x:c r="G50" s="12"/>
      <x:c r="H50" s="12"/>
    </x:row>
    <x:row r="51">
      <x:c r="A51" s="50"/>
      <x:c r="B51" s="12"/>
      <x:c r="C51" s="12"/>
      <x:c r="D51" s="12"/>
      <x:c r="E51" s="12"/>
      <x:c r="F51" s="12"/>
      <x:c r="G51" s="12"/>
      <x:c r="H51" s="12"/>
    </x:row>
    <x:row r="52">
      <x:c r="A52" s="50"/>
      <x:c r="B52" s="12"/>
      <x:c r="C52" s="12"/>
      <x:c r="D52" s="12"/>
      <x:c r="E52" s="12"/>
      <x:c r="F52" s="12"/>
      <x:c r="G52" s="12"/>
      <x:c r="H52" s="12"/>
    </x:row>
    <x:row r="53">
      <x:c r="A53" s="50"/>
      <x:c r="B53" s="12"/>
      <x:c r="C53" s="12"/>
      <x:c r="D53" s="12"/>
      <x:c r="E53" s="12"/>
      <x:c r="F53" s="12"/>
      <x:c r="G53" s="12"/>
      <x:c r="H53" s="12"/>
    </x:row>
    <x:row r="54">
      <x:c r="A54" s="50"/>
      <x:c r="B54" s="12"/>
      <x:c r="C54" s="12"/>
      <x:c r="D54" s="12"/>
      <x:c r="E54" s="12"/>
      <x:c r="F54" s="12"/>
      <x:c r="G54" s="12"/>
      <x:c r="H54" s="12"/>
    </x:row>
    <x:row r="55">
      <x:c r="A55" s="50"/>
      <x:c r="B55" s="12"/>
      <x:c r="C55" s="12"/>
      <x:c r="D55" s="12"/>
      <x:c r="E55" s="12"/>
      <x:c r="F55" s="12"/>
      <x:c r="G55" s="12"/>
      <x:c r="H55" s="12"/>
    </x:row>
    <x:row r="56">
      <x:c r="A56" s="50"/>
      <x:c r="B56" s="12"/>
      <x:c r="C56" s="12"/>
      <x:c r="D56" s="12"/>
      <x:c r="E56" s="12"/>
      <x:c r="F56" s="12"/>
      <x:c r="G56" s="12"/>
      <x:c r="H56" s="12"/>
    </x:row>
    <x:row r="57">
      <x:c r="A57" s="50"/>
      <x:c r="B57" s="12"/>
      <x:c r="C57" s="12"/>
      <x:c r="D57" s="12"/>
      <x:c r="E57" s="12"/>
      <x:c r="F57" s="12"/>
      <x:c r="G57" s="12"/>
      <x:c r="H57" s="12"/>
    </x:row>
    <x:row r="58">
      <x:c r="A58" s="50"/>
      <x:c r="B58" s="12"/>
      <x:c r="C58" s="12"/>
      <x:c r="D58" s="12"/>
      <x:c r="E58" s="12"/>
      <x:c r="F58" s="12"/>
      <x:c r="G58" s="12"/>
      <x:c r="H58" s="12"/>
    </x:row>
    <x:row r="59">
      <x:c r="A59" s="50"/>
      <x:c r="B59" s="12"/>
      <x:c r="C59" s="12"/>
      <x:c r="D59" s="12"/>
      <x:c r="E59" s="12"/>
      <x:c r="F59" s="12"/>
      <x:c r="G59" s="12"/>
      <x:c r="H59" s="12"/>
    </x:row>
    <x:row r="60">
      <x:c r="A60" s="50"/>
      <x:c r="B60" s="12"/>
      <x:c r="C60" s="12"/>
      <x:c r="D60" s="12"/>
      <x:c r="E60" s="12"/>
      <x:c r="F60" s="12"/>
      <x:c r="G60" s="12"/>
      <x:c r="H60" s="12"/>
    </x:row>
    <x:row r="61">
      <x:c r="B61" s="12"/>
      <x:c r="C61" s="12"/>
      <x:c r="D61" s="12"/>
      <x:c r="E61" s="12"/>
      <x:c r="F61" s="12"/>
      <x:c r="G61" s="12"/>
      <x:c r="H61" s="12"/>
    </x:row>
    <x:row r="62">
      <x:c r="B62" s="12"/>
      <x:c r="C62" s="12"/>
      <x:c r="D62" s="12"/>
      <x:c r="E62" s="12"/>
      <x:c r="F62" s="12"/>
      <x:c r="G62" s="12"/>
      <x:c r="H62" s="12"/>
    </x:row>
    <x:row r="63">
      <x:c r="B63" s="12"/>
      <x:c r="C63" s="12"/>
      <x:c r="D63" s="12"/>
      <x:c r="E63" s="12"/>
      <x:c r="F63" s="12"/>
      <x:c r="G63" s="12"/>
      <x:c r="H63" s="12"/>
    </x:row>
    <x:row r="64">
      <x:c r="B64" s="12"/>
      <x:c r="C64" s="12"/>
      <x:c r="D64" s="12"/>
      <x:c r="E64" s="12"/>
      <x:c r="F64" s="12"/>
      <x:c r="G64" s="12"/>
      <x:c r="H64" s="12"/>
    </x:row>
    <x:row r="65">
      <x:c r="B65" s="12"/>
      <x:c r="C65" s="12"/>
      <x:c r="D65" s="12"/>
      <x:c r="E65" s="12"/>
      <x:c r="F65" s="12"/>
      <x:c r="G65" s="12"/>
      <x:c r="H65" s="12"/>
    </x:row>
    <x:row r="66">
      <x:c r="B66" s="12"/>
      <x:c r="C66" s="12"/>
      <x:c r="D66" s="12"/>
      <x:c r="E66" s="12"/>
      <x:c r="F66" s="12"/>
      <x:c r="G66" s="12"/>
      <x:c r="H66" s="12"/>
    </x:row>
    <x:row r="67">
      <x:c r="B67" s="12"/>
      <x:c r="C67" s="12"/>
      <x:c r="D67" s="12"/>
      <x:c r="E67" s="12"/>
      <x:c r="F67" s="12"/>
      <x:c r="G67" s="12"/>
      <x:c r="H67" s="12"/>
    </x:row>
    <x:row r="68">
      <x:c r="B68" s="12"/>
      <x:c r="C68" s="12"/>
      <x:c r="D68" s="12"/>
      <x:c r="E68" s="12"/>
      <x:c r="F68" s="12"/>
      <x:c r="G68" s="12"/>
      <x:c r="H68" s="12"/>
    </x:row>
    <x:row r="69">
      <x:c r="B69" s="12"/>
      <x:c r="C69" s="12"/>
      <x:c r="D69" s="12"/>
      <x:c r="E69" s="12"/>
      <x:c r="F69" s="12"/>
      <x:c r="G69" s="12"/>
      <x:c r="H69" s="12"/>
    </x:row>
    <x:row r="70">
      <x:c r="B70" s="12"/>
      <x:c r="C70" s="12"/>
      <x:c r="D70" s="12"/>
      <x:c r="E70" s="12"/>
      <x:c r="F70" s="12"/>
      <x:c r="G70" s="12"/>
      <x:c r="H70" s="12"/>
    </x:row>
    <x:row r="71">
      <x:c r="B71" s="12"/>
      <x:c r="C71" s="12"/>
      <x:c r="D71" s="12"/>
      <x:c r="E71" s="12"/>
      <x:c r="F71" s="12"/>
      <x:c r="G71" s="12"/>
      <x:c r="H71" s="12"/>
    </x:row>
    <x:row r="72">
      <x:c r="B72" s="12"/>
      <x:c r="C72" s="12"/>
      <x:c r="D72" s="12"/>
      <x:c r="E72" s="12"/>
      <x:c r="F72" s="12"/>
      <x:c r="G72" s="12"/>
      <x:c r="H72" s="12"/>
    </x:row>
    <x:row r="73">
      <x:c r="B73" s="12"/>
      <x:c r="C73" s="12"/>
      <x:c r="D73" s="12"/>
      <x:c r="E73" s="12"/>
      <x:c r="F73" s="12"/>
      <x:c r="G73" s="12"/>
      <x:c r="H73" s="12"/>
    </x:row>
    <x:row r="74">
      <x:c r="B74" s="12"/>
      <x:c r="C74" s="12"/>
      <x:c r="D74" s="12"/>
      <x:c r="E74" s="12"/>
      <x:c r="F74" s="12"/>
      <x:c r="G74" s="12"/>
      <x:c r="H74" s="12"/>
    </x:row>
    <x:row r="75">
      <x:c r="B75" s="12"/>
      <x:c r="C75" s="12"/>
      <x:c r="D75" s="12"/>
      <x:c r="E75" s="12"/>
      <x:c r="F75" s="12"/>
      <x:c r="G75" s="12"/>
      <x:c r="H75" s="12"/>
    </x:row>
    <x:row r="76">
      <x:c r="B76" s="12"/>
      <x:c r="C76" s="12"/>
      <x:c r="D76" s="12"/>
      <x:c r="E76" s="12"/>
      <x:c r="F76" s="12"/>
      <x:c r="G76" s="12"/>
      <x:c r="H76" s="12"/>
    </x:row>
    <x:row r="77">
      <x:c r="B77" s="12"/>
      <x:c r="C77" s="12"/>
      <x:c r="D77" s="12"/>
      <x:c r="E77" s="12"/>
      <x:c r="F77" s="12"/>
      <x:c r="G77" s="12"/>
      <x:c r="H77" s="12"/>
    </x:row>
    <x:row r="78">
      <x:c r="B78" s="12"/>
      <x:c r="C78" s="12"/>
      <x:c r="D78" s="12"/>
      <x:c r="E78" s="12"/>
      <x:c r="F78" s="12"/>
      <x:c r="G78" s="12"/>
      <x:c r="H78" s="12"/>
    </x:row>
    <x:row r="79">
      <x:c r="B79" s="12"/>
      <x:c r="C79" s="12"/>
      <x:c r="D79" s="12"/>
      <x:c r="E79" s="12"/>
      <x:c r="F79" s="12"/>
      <x:c r="G79" s="12"/>
      <x:c r="H79" s="12"/>
    </x:row>
    <x:row r="80">
      <x:c r="B80" s="12"/>
      <x:c r="C80" s="12"/>
      <x:c r="D80" s="12"/>
      <x:c r="E80" s="12"/>
      <x:c r="F80" s="12"/>
      <x:c r="G80" s="12"/>
      <x:c r="H80" s="12"/>
    </x:row>
    <x:row r="81">
      <x:c r="B81" s="12"/>
      <x:c r="C81" s="12"/>
      <x:c r="D81" s="12"/>
      <x:c r="E81" s="12"/>
      <x:c r="F81" s="12"/>
      <x:c r="G81" s="12"/>
      <x:c r="H81" s="12"/>
    </x:row>
    <x:row r="82">
      <x:c r="B82" s="12"/>
      <x:c r="C82" s="12"/>
      <x:c r="D82" s="12"/>
      <x:c r="E82" s="12"/>
      <x:c r="F82" s="12"/>
      <x:c r="G82" s="12"/>
      <x:c r="H82" s="12"/>
    </x:row>
    <x:row r="83">
      <x:c r="B83" s="12"/>
      <x:c r="C83" s="12"/>
      <x:c r="D83" s="12"/>
      <x:c r="E83" s="12"/>
      <x:c r="F83" s="12"/>
      <x:c r="G83" s="12"/>
      <x:c r="H83" s="12"/>
    </x:row>
    <x:row r="84">
      <x:c r="B84" s="12"/>
      <x:c r="C84" s="12"/>
      <x:c r="D84" s="12"/>
      <x:c r="E84" s="12"/>
      <x:c r="F84" s="12"/>
      <x:c r="G84" s="12"/>
      <x:c r="H84" s="12"/>
    </x:row>
    <x:row r="85">
      <x:c r="B85" s="12"/>
      <x:c r="C85" s="12"/>
      <x:c r="D85" s="12"/>
      <x:c r="E85" s="12"/>
      <x:c r="F85" s="12"/>
      <x:c r="G85" s="12"/>
      <x:c r="H85" s="12"/>
    </x:row>
    <x:row r="86">
      <x:c r="B86" s="12"/>
      <x:c r="C86" s="12"/>
      <x:c r="D86" s="12"/>
      <x:c r="E86" s="12"/>
      <x:c r="F86" s="12"/>
      <x:c r="G86" s="12"/>
      <x:c r="H86" s="12"/>
    </x:row>
    <x:row r="87">
      <x:c r="B87" s="12"/>
      <x:c r="C87" s="12"/>
      <x:c r="D87" s="12"/>
      <x:c r="E87" s="12"/>
      <x:c r="F87" s="12"/>
      <x:c r="G87" s="12"/>
      <x:c r="H87" s="12"/>
    </x:row>
    <x:row r="88">
      <x:c r="B88" s="12"/>
      <x:c r="C88" s="12"/>
      <x:c r="D88" s="12"/>
      <x:c r="E88" s="12"/>
      <x:c r="F88" s="12"/>
      <x:c r="G88" s="12"/>
      <x:c r="H88" s="12"/>
    </x:row>
    <x:row r="89">
      <x:c r="B89" s="12"/>
      <x:c r="C89" s="12"/>
      <x:c r="D89" s="12"/>
      <x:c r="E89" s="12"/>
      <x:c r="F89" s="12"/>
      <x:c r="G89" s="12"/>
      <x:c r="H89" s="12"/>
    </x:row>
    <x:row r="90">
      <x:c r="B90" s="12"/>
      <x:c r="C90" s="12"/>
      <x:c r="D90" s="12"/>
      <x:c r="E90" s="12"/>
      <x:c r="F90" s="12"/>
      <x:c r="G90" s="12"/>
      <x:c r="H90" s="12"/>
    </x:row>
    <x:row r="91">
      <x:c r="B91" s="12"/>
      <x:c r="C91" s="12"/>
      <x:c r="D91" s="12"/>
      <x:c r="E91" s="12"/>
      <x:c r="F91" s="12"/>
      <x:c r="G91" s="12"/>
      <x:c r="H91" s="12"/>
    </x:row>
    <x:row r="92">
      <x:c r="B92" s="12"/>
      <x:c r="C92" s="12"/>
      <x:c r="D92" s="12"/>
      <x:c r="E92" s="12"/>
      <x:c r="F92" s="12"/>
      <x:c r="G92" s="12"/>
      <x:c r="H92" s="12"/>
    </x:row>
    <x:row r="93">
      <x:c r="B93" s="12"/>
      <x:c r="C93" s="12"/>
      <x:c r="D93" s="12"/>
      <x:c r="E93" s="12"/>
      <x:c r="F93" s="12"/>
      <x:c r="G93" s="12"/>
      <x:c r="H93" s="12"/>
    </x:row>
    <x:row r="94">
      <x:c r="B94" s="12"/>
      <x:c r="C94" s="12"/>
      <x:c r="D94" s="12"/>
      <x:c r="E94" s="12"/>
      <x:c r="F94" s="12"/>
      <x:c r="G94" s="12"/>
      <x:c r="H94" s="12"/>
    </x:row>
    <x:row r="95">
      <x:c r="B95" s="12"/>
      <x:c r="C95" s="12"/>
      <x:c r="D95" s="12"/>
      <x:c r="E95" s="12"/>
      <x:c r="F95" s="12"/>
      <x:c r="G95" s="12"/>
      <x:c r="H95" s="12"/>
    </x:row>
    <x:row r="96">
      <x:c r="B96" s="12"/>
      <x:c r="C96" s="12"/>
      <x:c r="D96" s="12"/>
      <x:c r="E96" s="12"/>
      <x:c r="F96" s="12"/>
      <x:c r="G96" s="12"/>
      <x:c r="H96" s="12"/>
    </x:row>
    <x:row r="97">
      <x:c r="B97" s="12"/>
      <x:c r="C97" s="12"/>
      <x:c r="D97" s="12"/>
      <x:c r="E97" s="12"/>
      <x:c r="F97" s="12"/>
      <x:c r="G97" s="12"/>
      <x:c r="H97" s="12"/>
    </x:row>
    <x:row r="98">
      <x:c r="B98" s="12"/>
      <x:c r="C98" s="12"/>
      <x:c r="D98" s="12"/>
      <x:c r="E98" s="12"/>
      <x:c r="F98" s="12"/>
      <x:c r="G98" s="12"/>
      <x:c r="H98" s="12"/>
    </x:row>
    <x:row r="99">
      <x:c r="B99" s="12"/>
      <x:c r="C99" s="12"/>
      <x:c r="D99" s="12"/>
      <x:c r="E99" s="12"/>
      <x:c r="F99" s="12"/>
      <x:c r="G99" s="12"/>
      <x:c r="H99" s="12"/>
    </x:row>
    <x:row r="100">
      <x:c r="B100" s="12"/>
      <x:c r="C100" s="12"/>
      <x:c r="D100" s="12"/>
      <x:c r="E100" s="12"/>
      <x:c r="F100" s="12"/>
      <x:c r="G100" s="12"/>
      <x:c r="H100" s="12"/>
    </x:row>
    <x:row r="101">
      <x:c r="B101" s="12"/>
      <x:c r="C101" s="12"/>
      <x:c r="D101" s="12"/>
      <x:c r="E101" s="12"/>
      <x:c r="F101" s="12"/>
      <x:c r="G101" s="12"/>
      <x:c r="H101" s="12"/>
    </x:row>
    <x:row r="102">
      <x:c r="B102" s="12"/>
      <x:c r="C102" s="12"/>
      <x:c r="D102" s="12"/>
      <x:c r="E102" s="12"/>
      <x:c r="F102" s="12"/>
      <x:c r="G102" s="12"/>
      <x:c r="H102" s="12"/>
    </x:row>
    <x:row r="103">
      <x:c r="B103" s="12"/>
      <x:c r="C103" s="12"/>
      <x:c r="D103" s="12"/>
      <x:c r="E103" s="12"/>
      <x:c r="F103" s="12"/>
      <x:c r="G103" s="12"/>
      <x:c r="H103" s="12"/>
    </x:row>
    <x:row r="104">
      <x:c r="B104" s="12"/>
      <x:c r="C104" s="12"/>
      <x:c r="D104" s="12"/>
      <x:c r="E104" s="12"/>
      <x:c r="F104" s="12"/>
      <x:c r="G104" s="12"/>
      <x:c r="H104" s="12"/>
    </x:row>
    <x:row r="105">
      <x:c r="B105" s="12"/>
      <x:c r="C105" s="12"/>
      <x:c r="D105" s="12"/>
      <x:c r="E105" s="12"/>
      <x:c r="F105" s="12"/>
      <x:c r="G105" s="12"/>
      <x:c r="H105" s="12"/>
    </x:row>
    <x:row r="106">
      <x:c r="B106" s="12"/>
      <x:c r="C106" s="12"/>
      <x:c r="D106" s="12"/>
      <x:c r="E106" s="12"/>
      <x:c r="F106" s="12"/>
      <x:c r="G106" s="12"/>
      <x:c r="H106" s="12"/>
    </x:row>
    <x:row r="107">
      <x:c r="B107" s="12"/>
      <x:c r="C107" s="12"/>
      <x:c r="D107" s="12"/>
      <x:c r="E107" s="12"/>
      <x:c r="F107" s="12"/>
      <x:c r="G107" s="12"/>
      <x:c r="H107" s="12"/>
    </x:row>
    <x:row r="108">
      <x:c r="B108" s="12"/>
      <x:c r="C108" s="12"/>
      <x:c r="D108" s="12"/>
      <x:c r="E108" s="12"/>
      <x:c r="F108" s="12"/>
      <x:c r="G108" s="12"/>
      <x:c r="H108" s="12"/>
    </x:row>
    <x:row r="109">
      <x:c r="B109" s="12"/>
      <x:c r="C109" s="12"/>
      <x:c r="D109" s="12"/>
      <x:c r="E109" s="12"/>
      <x:c r="F109" s="12"/>
      <x:c r="G109" s="12"/>
      <x:c r="H109" s="12"/>
    </x:row>
    <x:row r="110">
      <x:c r="B110" s="12"/>
      <x:c r="C110" s="12"/>
      <x:c r="D110" s="12"/>
      <x:c r="E110" s="12"/>
      <x:c r="F110" s="12"/>
      <x:c r="G110" s="12"/>
      <x:c r="H110" s="12"/>
    </x:row>
    <x:row r="111">
      <x:c r="B111" s="12"/>
      <x:c r="C111" s="12"/>
      <x:c r="D111" s="12"/>
      <x:c r="E111" s="12"/>
      <x:c r="F111" s="12"/>
      <x:c r="G111" s="12"/>
      <x:c r="H111" s="12"/>
    </x:row>
    <x:row r="112">
      <x:c r="B112" s="12"/>
      <x:c r="C112" s="12"/>
      <x:c r="D112" s="12"/>
      <x:c r="E112" s="12"/>
      <x:c r="F112" s="12"/>
      <x:c r="G112" s="12"/>
      <x:c r="H112" s="12"/>
    </x:row>
    <x:row r="113">
      <x:c r="B113" s="12"/>
      <x:c r="C113" s="12"/>
      <x:c r="D113" s="12"/>
      <x:c r="E113" s="12"/>
      <x:c r="F113" s="12"/>
      <x:c r="G113" s="12"/>
      <x:c r="H113" s="12"/>
    </x:row>
    <x:row r="114">
      <x:c r="B114" s="12"/>
      <x:c r="C114" s="12"/>
      <x:c r="D114" s="12"/>
      <x:c r="E114" s="12"/>
      <x:c r="F114" s="12"/>
      <x:c r="G114" s="12"/>
      <x:c r="H114" s="12"/>
    </x:row>
    <x:row r="115">
      <x:c r="B115" s="12"/>
      <x:c r="C115" s="12"/>
      <x:c r="D115" s="12"/>
      <x:c r="E115" s="12"/>
      <x:c r="F115" s="12"/>
      <x:c r="G115" s="12"/>
      <x:c r="H115" s="12"/>
    </x:row>
    <x:row r="116">
      <x:c r="B116" s="12"/>
      <x:c r="C116" s="12"/>
      <x:c r="D116" s="12"/>
      <x:c r="E116" s="12"/>
      <x:c r="F116" s="12"/>
      <x:c r="G116" s="12"/>
      <x:c r="H116" s="12"/>
    </x:row>
    <x:row r="117">
      <x:c r="B117" s="12"/>
      <x:c r="C117" s="12"/>
      <x:c r="D117" s="12"/>
      <x:c r="E117" s="12"/>
      <x:c r="F117" s="12"/>
      <x:c r="G117" s="12"/>
      <x:c r="H117" s="12"/>
    </x:row>
    <x:row r="118">
      <x:c r="B118" s="12"/>
      <x:c r="C118" s="12"/>
      <x:c r="D118" s="12"/>
      <x:c r="E118" s="12"/>
      <x:c r="F118" s="12"/>
      <x:c r="G118" s="12"/>
      <x:c r="H118" s="12"/>
    </x:row>
    <x:row r="119">
      <x:c r="B119" s="12"/>
      <x:c r="C119" s="12"/>
      <x:c r="D119" s="12"/>
      <x:c r="E119" s="12"/>
      <x:c r="F119" s="12"/>
      <x:c r="G119" s="12"/>
      <x:c r="H119" s="12"/>
    </x:row>
    <x:row r="120">
      <x:c r="B120" s="12"/>
      <x:c r="C120" s="12"/>
      <x:c r="D120" s="12"/>
      <x:c r="E120" s="12"/>
      <x:c r="F120" s="12"/>
      <x:c r="G120" s="12"/>
      <x:c r="H120" s="12"/>
    </x:row>
    <x:row r="121">
      <x:c r="B121" s="12"/>
      <x:c r="C121" s="12"/>
      <x:c r="D121" s="12"/>
      <x:c r="E121" s="12"/>
      <x:c r="F121" s="12"/>
      <x:c r="G121" s="12"/>
      <x:c r="H121" s="12"/>
    </x:row>
    <x:row r="122">
      <x:c r="B122" s="12"/>
      <x:c r="C122" s="12"/>
      <x:c r="D122" s="12"/>
      <x:c r="E122" s="12"/>
      <x:c r="F122" s="12"/>
      <x:c r="G122" s="12"/>
      <x:c r="H122" s="12"/>
    </x:row>
    <x:row r="123">
      <x:c r="B123" s="12"/>
      <x:c r="C123" s="12"/>
      <x:c r="D123" s="12"/>
      <x:c r="E123" s="12"/>
      <x:c r="F123" s="12"/>
      <x:c r="G123" s="12"/>
      <x:c r="H123" s="12"/>
    </x:row>
    <x:row r="124">
      <x:c r="B124" s="12"/>
      <x:c r="C124" s="12"/>
      <x:c r="D124" s="12"/>
      <x:c r="E124" s="12"/>
      <x:c r="F124" s="12"/>
      <x:c r="G124" s="12"/>
      <x:c r="H124" s="12"/>
    </x:row>
    <x:row r="125">
      <x:c r="B125" s="12"/>
      <x:c r="C125" s="12"/>
      <x:c r="D125" s="12"/>
      <x:c r="E125" s="12"/>
      <x:c r="F125" s="12"/>
      <x:c r="G125" s="12"/>
      <x:c r="H125" s="12"/>
    </x:row>
  </x:sheetData>
  <x:mergeCells>
    <x:mergeCell ref="A1:J2"/>
    <x:mergeCell ref="A3:J3"/>
    <x:mergeCell ref="A20:J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51" hidden="0" customWidth="1"/>
    <x:col min="10" max="10" width="70" hidden="0" customWidth="1"/>
  </x:cols>
  <x:sheetData>
    <x:row r="1" ht="23" customHeight="1">
      <x:c r="A1" s="74" t="str">
        <x:v>SMSM | Financial Normalization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23" customHeight="1">
      <x:c r="A2" s="74"/>
      <x:c r="B2" s="74"/>
      <x:c r="C2" s="74"/>
      <x:c r="D2" s="74"/>
      <x:c r="E2" s="74"/>
      <x:c r="F2" s="74"/>
      <x:c r="G2" s="74"/>
      <x:c r="H2" s="74"/>
      <x:c r="I2" s="74"/>
      <x:c r="J2" s="74"/>
    </x:row>
    <x:row r="3" ht="25" customHeight="1">
      <x:c r="A3" s="75" t="str">
        <x:v>Rp million • baseline is reported operating profit; only specifically evidenced gains considered</x:v>
      </x:c>
      <x:c r="B3" s="75"/>
      <x:c r="C3" s="75"/>
      <x:c r="D3" s="75"/>
      <x:c r="E3" s="75"/>
      <x:c r="F3" s="75"/>
      <x:c r="G3" s="75"/>
      <x:c r="H3" s="75"/>
      <x:c r="I3" s="75"/>
      <x:c r="J3" s="75"/>
    </x:row>
    <x:row r="5">
      <x:c r="B5" s="12"/>
      <x:c r="C5" s="12"/>
      <x:c r="D5" s="12"/>
      <x:c r="E5" s="12"/>
      <x:c r="F5" s="12"/>
      <x:c r="G5" s="12"/>
      <x:c r="H5" s="12"/>
    </x:row>
    <x:row r="6" ht="25" customHeight="1">
      <x:c r="A6" s="28" t="str">
        <x:v>Line item</x:v>
      </x:c>
      <x:c r="B6" s="58" t="str">
        <x:v>FY2023 RS</x:v>
      </x:c>
      <x:c r="C6" s="58" t="str">
        <x:v>FY2024</x:v>
      </x:c>
      <x:c r="D6" s="58" t="str">
        <x:v>FY2025</x:v>
      </x:c>
      <x:c r="E6" s="58" t="str">
        <x:v>H1 2026</x:v>
      </x:c>
      <x:c r="F6" s="58" t="str">
        <x:v>Basis</x:v>
      </x:c>
      <x:c r="G6" s="58" t="str">
        <x:v>Status</x:v>
      </x:c>
      <x:c r="H6" s="58" t="str">
        <x:v>Policy</x:v>
      </x:c>
      <x:c r="I6" s="28" t="str">
        <x:v>Official source</x:v>
      </x:c>
      <x:c r="J6" s="28" t="str">
        <x:v>Review note</x:v>
      </x:c>
    </x:row>
    <x:row r="7">
      <x:c r="A7" s="50" t="str">
        <x:v>Reported operating EBIT</x:v>
      </x:c>
      <x:c r="B7" s="44" t="n">
        <x:f>'02 Historical Financials'!D8</x:f>
        <x:v>1282062</x:v>
      </x:c>
      <x:c r="C7" s="44" t="n">
        <x:f>'02 Historical Financials'!E8</x:f>
        <x:v>1374930</x:v>
      </x:c>
      <x:c r="D7" s="44" t="n">
        <x:f>'02 Historical Financials'!F8</x:f>
        <x:v>1502192</x:v>
      </x:c>
      <x:c r="E7" s="44" t="n">
        <x:f>'02 Historical Financials'!G8</x:f>
        <x:v>734043</x:v>
      </x:c>
      <x:c r="F7" s="20"/>
      <x:c r="G7" s="20"/>
      <x:c r="H7" s="20"/>
    </x:row>
    <x:row r="8">
      <x:c r="A8" s="50" t="str">
        <x:v>Fixed-asset disposal gains (identified)</x:v>
      </x:c>
      <x:c r="B8" s="36" t="n">
        <x:v>6626</x:v>
      </x:c>
      <x:c r="C8" s="36" t="n">
        <x:v>13653</x:v>
      </x:c>
      <x:c r="D8" s="36" t="n">
        <x:v>8791</x:v>
      </x:c>
      <x:c r="E8" s="36" t="n">
        <x:v>2322</x:v>
      </x:c>
      <x:c r="F8" s="20"/>
      <x:c r="G8" s="20"/>
      <x:c r="H8" s="20" t="str">
        <x:v>Routine fixed-asset replacement gains NOT automatically excluded.</x:v>
      </x:c>
    </x:row>
    <x:row r="9">
      <x:c r="A9" s="50" t="str">
        <x:v>Investment-property disposal gain</x:v>
      </x:c>
      <x:c r="B9" s="36" t="n">
        <x:v>0</x:v>
      </x:c>
      <x:c r="C9" s="36" t="n">
        <x:v>0</x:v>
      </x:c>
      <x:c r="D9" s="36" t="n">
        <x:v>0</x:v>
      </x:c>
      <x:c r="E9" s="36" t="n">
        <x:v>24436</x:v>
      </x:c>
      <x:c r="F9" s="20"/>
      <x:c r="G9" s="20"/>
      <x:c r="H9" s="20" t="str">
        <x:v>H1 2026 sale gain recognized within income; operating EBIT includes it (other operating income); one-off.</x:v>
      </x:c>
      <x:c r="I9" t="str">
        <x:v>https://smsm.co.id/uploads/attachment/Laporan%20Keuangan%20SMSM%2030%20Jun%202026.pdf</x:v>
      </x:c>
      <x:c r="J9" t="str">
        <x:v>H1 tax reconciliation Note 12c; cash proceeds 87,391 less book 62,955 = 24,436.</x:v>
      </x:c>
    </x:row>
    <x:row r="10">
      <x:c r="A10" s="50" t="str">
        <x:v>Normalize material investment-property gain? (0/1)</x:v>
      </x:c>
      <x:c r="B10" s="36" t="n">
        <x:v>0</x:v>
      </x:c>
      <x:c r="C10" s="36" t="n">
        <x:v>0</x:v>
      </x:c>
      <x:c r="D10" s="36" t="n">
        <x:v>0</x:v>
      </x:c>
      <x:c r="E10" s="36" t="n">
        <x:v>1</x:v>
      </x:c>
      <x:c r="F10" s="20"/>
      <x:c r="G10" s="20"/>
      <x:c r="H10" s="20" t="str">
        <x:v>0 = include; 1 = exclude documented investment-property disposal gain</x:v>
      </x:c>
    </x:row>
    <x:row r="11">
      <x:c r="A11" s="50" t="str">
        <x:v>Candidate normalized EBIT</x:v>
      </x:c>
      <x:c r="B11" s="38" t="n">
        <x:f>B7-B9*B10</x:f>
        <x:v>1282062</x:v>
      </x:c>
      <x:c r="C11" s="38" t="n">
        <x:f>C7-C9*C10</x:f>
        <x:v>1374930</x:v>
      </x:c>
      <x:c r="D11" s="38" t="n">
        <x:f>D7-D9*D10</x:f>
        <x:v>1502192</x:v>
      </x:c>
      <x:c r="E11" s="38" t="n">
        <x:f>E7-E9*E10</x:f>
        <x:v>709607</x:v>
      </x:c>
      <x:c r="F11" s="20"/>
      <x:c r="G11" s="20"/>
      <x:c r="H11" s="20"/>
    </x:row>
    <x:row r="12">
      <x:c r="A12" s="50" t="str">
        <x:v>Profit before tax</x:v>
      </x:c>
      <x:c r="B12" s="44" t="n">
        <x:f>SUM('02 Historical Financials'!D9,B13)</x:f>
        <x:v>1301727</x:v>
      </x:c>
      <x:c r="C12" s="44" t="n">
        <x:f>SUM('02 Historical Financials'!E9,C13)</x:f>
        <x:v>1401877</x:v>
      </x:c>
      <x:c r="D12" s="44" t="n">
        <x:f>SUM('02 Historical Financials'!F9,D13)</x:f>
        <x:v>1532377</x:v>
      </x:c>
      <x:c r="E12" s="44" t="n">
        <x:f>SUM('02 Historical Financials'!G9,E13)</x:f>
        <x:v>748639</x:v>
      </x:c>
      <x:c r="F12" s="20"/>
      <x:c r="G12" s="20"/>
      <x:c r="H12" s="20"/>
    </x:row>
    <x:row r="13">
      <x:c r="A13" s="50" t="str">
        <x:v>Reported income tax expense</x:v>
      </x:c>
      <x:c r="B13" s="44" t="n">
        <x:f>'02 Historical Financials'!D11</x:f>
        <x:v>263432</x:v>
      </x:c>
      <x:c r="C13" s="44" t="n">
        <x:f>'02 Historical Financials'!E11</x:f>
        <x:v>283977</x:v>
      </x:c>
      <x:c r="D13" s="44" t="n">
        <x:f>'02 Historical Financials'!F11</x:f>
        <x:v>312049</x:v>
      </x:c>
      <x:c r="E13" s="44" t="n">
        <x:f>'02 Historical Financials'!G11</x:f>
        <x:v>146856</x:v>
      </x:c>
      <x:c r="F13" s="20"/>
      <x:c r="G13" s="20"/>
      <x:c r="H13" s="20"/>
    </x:row>
    <x:row r="14">
      <x:c r="A14" s="50" t="str">
        <x:v>Reported ETR: tax/PBT</x:v>
      </x:c>
      <x:c r="B14" s="40" t="n">
        <x:f>IFERROR(B13/B12,0)</x:f>
        <x:v>0.20237115770050096</x:v>
      </x:c>
      <x:c r="C14" s="40" t="n">
        <x:f>IFERROR(C13/C12,0)</x:f>
        <x:v>0.20256912696334986</x:v>
      </x:c>
      <x:c r="D14" s="40" t="n">
        <x:f>IFERROR(D13/D12,0)</x:f>
        <x:v>0.20363722504318454</x:v>
      </x:c>
      <x:c r="E14" s="40" t="n">
        <x:f>IFERROR(E13/E12,0)</x:f>
        <x:v>0.19616397222159146</x:v>
      </x:c>
      <x:c r="F14" s="20"/>
      <x:c r="G14" s="20"/>
      <x:c r="H14" s="20" t="str">
        <x:v>Observed ETR is historical DIAGNOSTIC, not the tax rate for future forecast.</x:v>
      </x:c>
    </x:row>
    <x:row r="15">
      <x:c r="A15" s="50" t="str">
        <x:v>Illustrative tax on normalized EBIT at observed ETR</x:v>
      </x:c>
      <x:c r="B15" s="38" t="n">
        <x:f>B11*B14</x:f>
        <x:v>259452.37118381966</x:v>
      </x:c>
      <x:c r="C15" s="38" t="n">
        <x:f>C11*C14</x:f>
        <x:v>278518.36973571865</x:v>
      </x:c>
      <x:c r="D15" s="38" t="n">
        <x:f>D11*D14</x:f>
        <x:v>305902.21036207146</x:v>
      </x:c>
      <x:c r="E15" s="38" t="n">
        <x:f>E11*E14</x:f>
        <x:v>139199.32783624684</x:v>
      </x:c>
      <x:c r="F15" s="20"/>
      <x:c r="G15" s="20"/>
      <x:c r="H15" s="20" t="str">
        <x:v>NOT normalized cash tax or actual FCFF tax; FY2026 disposal treated as final-tax item.</x:v>
      </x:c>
    </x:row>
    <x:row r="16">
      <x:c r="A16" s="50"/>
      <x:c r="B16" s="12"/>
      <x:c r="C16" s="12"/>
      <x:c r="D16" s="12"/>
      <x:c r="E16" s="12"/>
      <x:c r="F16" s="20"/>
      <x:c r="G16" s="20"/>
      <x:c r="H16" s="20"/>
    </x:row>
    <x:row r="17">
      <x:c r="A17" s="50" t="str">
        <x:v>Net operating earnings after observed ETR [diagnostic]</x:v>
      </x:c>
      <x:c r="B17" s="38" t="n">
        <x:f>B11-B15</x:f>
        <x:v>1022609.6288161804</x:v>
      </x:c>
      <x:c r="C17" s="38" t="n">
        <x:f>C11-C15</x:f>
        <x:v>1096411.6302642813</x:v>
      </x:c>
      <x:c r="D17" s="38" t="n">
        <x:f>D11-D15</x:f>
        <x:v>1196289.7896379286</x:v>
      </x:c>
      <x:c r="E17" s="38" t="n">
        <x:f>E11-E15</x:f>
        <x:v>570407.6721637532</x:v>
      </x:c>
      <x:c r="F17" s="20"/>
      <x:c r="G17" s="20"/>
      <x:c r="H17" s="20"/>
    </x:row>
    <x:row r="18">
      <x:c r="A18" s="50"/>
      <x:c r="B18" s="12"/>
      <x:c r="C18" s="12"/>
      <x:c r="D18" s="12"/>
      <x:c r="E18" s="12"/>
      <x:c r="F18" s="20"/>
      <x:c r="G18" s="20"/>
      <x:c r="H18" s="20"/>
    </x:row>
    <x:row r="19">
      <x:c r="A19" s="50"/>
      <x:c r="B19" s="12"/>
      <x:c r="C19" s="12"/>
      <x:c r="D19" s="12"/>
      <x:c r="E19" s="12"/>
      <x:c r="F19" s="20"/>
      <x:c r="G19" s="20"/>
      <x:c r="H19" s="20"/>
    </x:row>
    <x:row r="20" ht="32" customHeight="1">
      <x:c r="A20" s="56" t="str">
        <x:v>Do not apply 19% ordinary corporate tax to the H1 2026 investment-property gain; Note 12c classifies disposal as final-tax income.</x:v>
      </x:c>
      <x:c r="B20" s="20"/>
      <x:c r="C20" s="20"/>
      <x:c r="D20" s="20"/>
      <x:c r="E20" s="20"/>
      <x:c r="F20" s="20"/>
      <x:c r="G20" s="20"/>
      <x:c r="H20" s="20"/>
      <x:c r="I20" s="21"/>
      <x:c r="J20" s="21"/>
    </x:row>
    <x:row r="21" ht="32" customHeight="1">
      <x:c r="A21" s="56" t="str">
        <x:v>Reported other operating income/expense also reflects FX fluctuations; identify recurring hedging activities before excluding these as unusual.</x:v>
      </x:c>
      <x:c r="B21" s="20"/>
      <x:c r="C21" s="20"/>
      <x:c r="D21" s="20"/>
      <x:c r="E21" s="20"/>
      <x:c r="F21" s="20"/>
      <x:c r="G21" s="20"/>
      <x:c r="H21" s="20"/>
      <x:c r="I21" s="21"/>
      <x:c r="J21" s="21"/>
    </x:row>
    <x:row r="22" ht="32" customHeight="1">
      <x:c r="A22" s="56" t="str">
        <x:v>H1 2026 EBIT normalization is 734,043 - 24,436 = 709,607 (Rp million); after-tax normalization is not yet independently computed.</x:v>
      </x:c>
      <x:c r="B22" s="20"/>
      <x:c r="C22" s="20"/>
      <x:c r="D22" s="20"/>
      <x:c r="E22" s="20"/>
      <x:c r="F22" s="20"/>
      <x:c r="G22" s="20"/>
      <x:c r="H22" s="20"/>
      <x:c r="I22" s="21"/>
      <x:c r="J22" s="21"/>
    </x:row>
    <x:row r="23">
      <x:c r="A23" s="50"/>
      <x:c r="B23" s="12"/>
      <x:c r="C23" s="12"/>
      <x:c r="D23" s="12"/>
      <x:c r="E23" s="12"/>
      <x:c r="F23" s="20"/>
      <x:c r="G23" s="20"/>
      <x:c r="H23" s="20"/>
    </x:row>
    <x:row r="24">
      <x:c r="A24" s="50"/>
      <x:c r="B24" s="12"/>
      <x:c r="C24" s="12"/>
      <x:c r="D24" s="12"/>
      <x:c r="E24" s="12"/>
      <x:c r="F24" s="20"/>
      <x:c r="G24" s="20"/>
      <x:c r="H24" s="20"/>
    </x:row>
    <x:row r="25">
      <x:c r="A25" s="50"/>
      <x:c r="B25" s="12"/>
      <x:c r="C25" s="12"/>
      <x:c r="D25" s="12"/>
      <x:c r="E25" s="12"/>
      <x:c r="F25" s="20"/>
      <x:c r="G25" s="20"/>
      <x:c r="H25" s="20"/>
    </x:row>
    <x:row r="26">
      <x:c r="A26" s="50"/>
      <x:c r="B26" s="12"/>
      <x:c r="C26" s="12"/>
      <x:c r="D26" s="12"/>
      <x:c r="E26" s="12"/>
      <x:c r="F26" s="20"/>
      <x:c r="G26" s="20"/>
      <x:c r="H26" s="20"/>
    </x:row>
    <x:row r="27">
      <x:c r="A27" s="50"/>
      <x:c r="B27" s="12"/>
      <x:c r="C27" s="12"/>
      <x:c r="D27" s="12"/>
      <x:c r="E27" s="12"/>
      <x:c r="F27" s="20"/>
      <x:c r="G27" s="20"/>
      <x:c r="H27" s="20"/>
    </x:row>
    <x:row r="28">
      <x:c r="A28" s="50"/>
      <x:c r="B28" s="12"/>
      <x:c r="C28" s="12"/>
      <x:c r="D28" s="12"/>
      <x:c r="E28" s="12"/>
      <x:c r="F28" s="20"/>
      <x:c r="G28" s="20"/>
      <x:c r="H28" s="20"/>
    </x:row>
    <x:row r="29">
      <x:c r="A29" s="50"/>
      <x:c r="B29" s="12"/>
      <x:c r="C29" s="12"/>
      <x:c r="D29" s="12"/>
      <x:c r="E29" s="12"/>
      <x:c r="F29" s="20"/>
      <x:c r="G29" s="20"/>
      <x:c r="H29" s="20"/>
    </x:row>
    <x:row r="30">
      <x:c r="A30" s="50"/>
      <x:c r="B30" s="12"/>
      <x:c r="C30" s="12"/>
      <x:c r="D30" s="12"/>
      <x:c r="E30" s="12"/>
      <x:c r="F30" s="20"/>
      <x:c r="G30" s="20"/>
      <x:c r="H30" s="20"/>
    </x:row>
    <x:row r="31">
      <x:c r="A31" s="50"/>
      <x:c r="B31" s="12"/>
      <x:c r="C31" s="12"/>
      <x:c r="D31" s="12"/>
      <x:c r="E31" s="12"/>
      <x:c r="F31" s="20"/>
      <x:c r="G31" s="20"/>
      <x:c r="H31" s="20"/>
    </x:row>
    <x:row r="32">
      <x:c r="A32" s="50"/>
      <x:c r="B32" s="12"/>
      <x:c r="C32" s="12"/>
      <x:c r="D32" s="12"/>
      <x:c r="E32" s="12"/>
      <x:c r="F32" s="20"/>
      <x:c r="G32" s="20"/>
      <x:c r="H32" s="20"/>
    </x:row>
    <x:row r="33">
      <x:c r="A33" s="50"/>
      <x:c r="B33" s="12"/>
      <x:c r="C33" s="12"/>
      <x:c r="D33" s="12"/>
      <x:c r="E33" s="12"/>
      <x:c r="F33" s="20"/>
      <x:c r="G33" s="20"/>
      <x:c r="H33" s="20"/>
    </x:row>
    <x:row r="34">
      <x:c r="A34" s="50"/>
      <x:c r="B34" s="12"/>
      <x:c r="C34" s="12"/>
      <x:c r="D34" s="12"/>
      <x:c r="E34" s="12"/>
      <x:c r="F34" s="20"/>
      <x:c r="G34" s="20"/>
      <x:c r="H34" s="20"/>
    </x:row>
    <x:row r="35">
      <x:c r="A35" s="50"/>
      <x:c r="B35" s="12"/>
      <x:c r="C35" s="12"/>
      <x:c r="D35" s="12"/>
      <x:c r="E35" s="12"/>
      <x:c r="F35" s="20"/>
      <x:c r="G35" s="20"/>
      <x:c r="H35" s="20"/>
    </x:row>
    <x:row r="36">
      <x:c r="A36" s="50"/>
      <x:c r="B36" s="12"/>
      <x:c r="C36" s="12"/>
      <x:c r="D36" s="12"/>
      <x:c r="E36" s="12"/>
      <x:c r="F36" s="12"/>
      <x:c r="G36" s="20"/>
      <x:c r="H36" s="20"/>
    </x:row>
    <x:row r="37">
      <x:c r="A37" s="50"/>
      <x:c r="B37" s="12"/>
      <x:c r="C37" s="12"/>
      <x:c r="D37" s="12"/>
      <x:c r="E37" s="12"/>
      <x:c r="F37" s="12"/>
      <x:c r="G37" s="20"/>
      <x:c r="H37" s="20"/>
    </x:row>
    <x:row r="38">
      <x:c r="A38" s="50"/>
      <x:c r="B38" s="12"/>
      <x:c r="C38" s="12"/>
      <x:c r="D38" s="12"/>
      <x:c r="E38" s="12"/>
      <x:c r="F38" s="12"/>
      <x:c r="G38" s="20"/>
      <x:c r="H38" s="20"/>
    </x:row>
    <x:row r="39">
      <x:c r="A39" s="50"/>
      <x:c r="B39" s="12"/>
      <x:c r="C39" s="12"/>
      <x:c r="D39" s="12"/>
      <x:c r="E39" s="12"/>
      <x:c r="F39" s="12"/>
      <x:c r="G39" s="20"/>
      <x:c r="H39" s="20"/>
    </x:row>
    <x:row r="40">
      <x:c r="A40" s="50"/>
      <x:c r="B40" s="12"/>
      <x:c r="C40" s="12"/>
      <x:c r="D40" s="12"/>
      <x:c r="E40" s="12"/>
      <x:c r="F40" s="12"/>
      <x:c r="G40" s="20"/>
      <x:c r="H40" s="20"/>
    </x:row>
    <x:row r="41">
      <x:c r="A41" s="50"/>
      <x:c r="B41" s="12"/>
      <x:c r="C41" s="12"/>
      <x:c r="D41" s="12"/>
      <x:c r="E41" s="12"/>
      <x:c r="F41" s="12"/>
      <x:c r="G41" s="12"/>
      <x:c r="H41" s="12"/>
    </x:row>
    <x:row r="42">
      <x:c r="A42" s="50"/>
      <x:c r="B42" s="12"/>
      <x:c r="C42" s="12"/>
      <x:c r="D42" s="12"/>
      <x:c r="E42" s="12"/>
      <x:c r="F42" s="12"/>
      <x:c r="G42" s="12"/>
      <x:c r="H42" s="12"/>
    </x:row>
    <x:row r="43">
      <x:c r="A43" s="50"/>
      <x:c r="B43" s="12"/>
      <x:c r="C43" s="12"/>
      <x:c r="D43" s="12"/>
      <x:c r="E43" s="12"/>
      <x:c r="F43" s="12"/>
      <x:c r="G43" s="12"/>
      <x:c r="H43" s="12"/>
    </x:row>
    <x:row r="44">
      <x:c r="A44" s="50"/>
      <x:c r="B44" s="12"/>
      <x:c r="C44" s="12"/>
      <x:c r="D44" s="12"/>
      <x:c r="E44" s="12"/>
      <x:c r="F44" s="12"/>
      <x:c r="G44" s="12"/>
      <x:c r="H44" s="12"/>
    </x:row>
    <x:row r="45">
      <x:c r="A45" s="50"/>
      <x:c r="B45" s="12"/>
      <x:c r="C45" s="12"/>
      <x:c r="D45" s="12"/>
      <x:c r="E45" s="12"/>
      <x:c r="F45" s="12"/>
      <x:c r="G45" s="12"/>
      <x:c r="H45" s="12"/>
    </x:row>
    <x:row r="46">
      <x:c r="A46" s="50"/>
      <x:c r="B46" s="12"/>
      <x:c r="C46" s="12"/>
      <x:c r="D46" s="12"/>
      <x:c r="E46" s="12"/>
      <x:c r="F46" s="12"/>
      <x:c r="G46" s="12"/>
      <x:c r="H46" s="12"/>
    </x:row>
    <x:row r="47">
      <x:c r="A47" s="50"/>
      <x:c r="B47" s="12"/>
      <x:c r="C47" s="12"/>
      <x:c r="D47" s="12"/>
      <x:c r="E47" s="12"/>
      <x:c r="F47" s="12"/>
      <x:c r="G47" s="12"/>
      <x:c r="H47" s="12"/>
    </x:row>
    <x:row r="48">
      <x:c r="A48" s="50"/>
      <x:c r="B48" s="12"/>
      <x:c r="C48" s="12"/>
      <x:c r="D48" s="12"/>
      <x:c r="E48" s="12"/>
      <x:c r="F48" s="12"/>
      <x:c r="G48" s="12"/>
      <x:c r="H48" s="12"/>
    </x:row>
    <x:row r="49">
      <x:c r="A49" s="50"/>
      <x:c r="B49" s="12"/>
      <x:c r="C49" s="12"/>
      <x:c r="D49" s="12"/>
      <x:c r="E49" s="12"/>
      <x:c r="F49" s="12"/>
      <x:c r="G49" s="12"/>
      <x:c r="H49" s="12"/>
    </x:row>
    <x:row r="50">
      <x:c r="A50" s="50"/>
      <x:c r="B50" s="12"/>
      <x:c r="C50" s="12"/>
      <x:c r="D50" s="12"/>
      <x:c r="E50" s="12"/>
      <x:c r="F50" s="12"/>
      <x:c r="G50" s="12"/>
      <x:c r="H50" s="12"/>
    </x:row>
    <x:row r="51">
      <x:c r="A51" s="50"/>
      <x:c r="B51" s="12"/>
      <x:c r="C51" s="12"/>
      <x:c r="D51" s="12"/>
      <x:c r="E51" s="12"/>
      <x:c r="F51" s="12"/>
      <x:c r="G51" s="12"/>
      <x:c r="H51" s="12"/>
    </x:row>
    <x:row r="52">
      <x:c r="A52" s="50"/>
      <x:c r="B52" s="12"/>
      <x:c r="C52" s="12"/>
      <x:c r="D52" s="12"/>
      <x:c r="E52" s="12"/>
      <x:c r="F52" s="12"/>
      <x:c r="G52" s="12"/>
      <x:c r="H52" s="12"/>
    </x:row>
    <x:row r="53">
      <x:c r="A53" s="50"/>
      <x:c r="B53" s="12"/>
      <x:c r="C53" s="12"/>
      <x:c r="D53" s="12"/>
      <x:c r="E53" s="12"/>
      <x:c r="F53" s="12"/>
      <x:c r="G53" s="12"/>
      <x:c r="H53" s="12"/>
    </x:row>
    <x:row r="54">
      <x:c r="A54" s="50"/>
      <x:c r="B54" s="12"/>
      <x:c r="C54" s="12"/>
      <x:c r="D54" s="12"/>
      <x:c r="E54" s="12"/>
      <x:c r="F54" s="12"/>
      <x:c r="G54" s="12"/>
      <x:c r="H54" s="12"/>
    </x:row>
    <x:row r="55">
      <x:c r="A55" s="50"/>
      <x:c r="B55" s="12"/>
      <x:c r="C55" s="12"/>
      <x:c r="D55" s="12"/>
      <x:c r="E55" s="12"/>
      <x:c r="F55" s="12"/>
      <x:c r="G55" s="12"/>
      <x:c r="H55" s="12"/>
    </x:row>
    <x:row r="56">
      <x:c r="A56" s="50"/>
      <x:c r="B56" s="12"/>
      <x:c r="C56" s="12"/>
      <x:c r="D56" s="12"/>
      <x:c r="E56" s="12"/>
      <x:c r="F56" s="12"/>
      <x:c r="G56" s="12"/>
      <x:c r="H56" s="12"/>
    </x:row>
    <x:row r="57">
      <x:c r="A57" s="50"/>
      <x:c r="B57" s="12"/>
      <x:c r="C57" s="12"/>
      <x:c r="D57" s="12"/>
      <x:c r="E57" s="12"/>
      <x:c r="F57" s="12"/>
      <x:c r="G57" s="12"/>
      <x:c r="H57" s="12"/>
    </x:row>
    <x:row r="58">
      <x:c r="A58" s="50"/>
      <x:c r="B58" s="12"/>
      <x:c r="C58" s="12"/>
      <x:c r="D58" s="12"/>
      <x:c r="E58" s="12"/>
      <x:c r="F58" s="12"/>
      <x:c r="G58" s="12"/>
      <x:c r="H58" s="12"/>
    </x:row>
    <x:row r="59">
      <x:c r="A59" s="50"/>
      <x:c r="B59" s="12"/>
      <x:c r="C59" s="12"/>
      <x:c r="D59" s="12"/>
      <x:c r="E59" s="12"/>
      <x:c r="F59" s="12"/>
      <x:c r="G59" s="12"/>
      <x:c r="H59" s="12"/>
    </x:row>
    <x:row r="60">
      <x:c r="A60" s="50"/>
      <x:c r="B60" s="12"/>
      <x:c r="C60" s="12"/>
      <x:c r="D60" s="12"/>
      <x:c r="E60" s="12"/>
      <x:c r="F60" s="12"/>
      <x:c r="G60" s="12"/>
      <x:c r="H60" s="12"/>
    </x:row>
    <x:row r="61">
      <x:c r="B61" s="12"/>
      <x:c r="C61" s="12"/>
      <x:c r="D61" s="12"/>
      <x:c r="E61" s="12"/>
      <x:c r="F61" s="12"/>
      <x:c r="G61" s="12"/>
      <x:c r="H61" s="12"/>
    </x:row>
    <x:row r="62">
      <x:c r="B62" s="12"/>
      <x:c r="C62" s="12"/>
      <x:c r="D62" s="12"/>
      <x:c r="E62" s="12"/>
      <x:c r="F62" s="12"/>
      <x:c r="G62" s="12"/>
      <x:c r="H62" s="12"/>
    </x:row>
    <x:row r="63">
      <x:c r="B63" s="12"/>
      <x:c r="C63" s="12"/>
      <x:c r="D63" s="12"/>
      <x:c r="E63" s="12"/>
      <x:c r="F63" s="12"/>
      <x:c r="G63" s="12"/>
      <x:c r="H63" s="12"/>
    </x:row>
    <x:row r="64">
      <x:c r="B64" s="12"/>
      <x:c r="C64" s="12"/>
      <x:c r="D64" s="12"/>
      <x:c r="E64" s="12"/>
      <x:c r="F64" s="12"/>
      <x:c r="G64" s="12"/>
      <x:c r="H64" s="12"/>
    </x:row>
    <x:row r="65">
      <x:c r="B65" s="12"/>
      <x:c r="C65" s="12"/>
      <x:c r="D65" s="12"/>
      <x:c r="E65" s="12"/>
      <x:c r="F65" s="12"/>
      <x:c r="G65" s="12"/>
      <x:c r="H65" s="12"/>
    </x:row>
    <x:row r="66">
      <x:c r="B66" s="12"/>
      <x:c r="C66" s="12"/>
      <x:c r="D66" s="12"/>
      <x:c r="E66" s="12"/>
      <x:c r="F66" s="12"/>
      <x:c r="G66" s="12"/>
      <x:c r="H66" s="12"/>
    </x:row>
    <x:row r="67">
      <x:c r="B67" s="12"/>
      <x:c r="C67" s="12"/>
      <x:c r="D67" s="12"/>
      <x:c r="E67" s="12"/>
      <x:c r="F67" s="12"/>
      <x:c r="G67" s="12"/>
      <x:c r="H67" s="12"/>
    </x:row>
    <x:row r="68">
      <x:c r="B68" s="12"/>
      <x:c r="C68" s="12"/>
      <x:c r="D68" s="12"/>
      <x:c r="E68" s="12"/>
      <x:c r="F68" s="12"/>
      <x:c r="G68" s="12"/>
      <x:c r="H68" s="12"/>
    </x:row>
    <x:row r="69">
      <x:c r="B69" s="12"/>
      <x:c r="C69" s="12"/>
      <x:c r="D69" s="12"/>
      <x:c r="E69" s="12"/>
      <x:c r="F69" s="12"/>
      <x:c r="G69" s="12"/>
      <x:c r="H69" s="12"/>
    </x:row>
    <x:row r="70">
      <x:c r="B70" s="12"/>
      <x:c r="C70" s="12"/>
      <x:c r="D70" s="12"/>
      <x:c r="E70" s="12"/>
      <x:c r="F70" s="12"/>
      <x:c r="G70" s="12"/>
      <x:c r="H70" s="12"/>
    </x:row>
    <x:row r="71">
      <x:c r="B71" s="12"/>
      <x:c r="C71" s="12"/>
      <x:c r="D71" s="12"/>
      <x:c r="E71" s="12"/>
      <x:c r="F71" s="12"/>
      <x:c r="G71" s="12"/>
      <x:c r="H71" s="12"/>
    </x:row>
    <x:row r="72">
      <x:c r="B72" s="12"/>
      <x:c r="C72" s="12"/>
      <x:c r="D72" s="12"/>
      <x:c r="E72" s="12"/>
      <x:c r="F72" s="12"/>
      <x:c r="G72" s="12"/>
      <x:c r="H72" s="12"/>
    </x:row>
    <x:row r="73">
      <x:c r="B73" s="12"/>
      <x:c r="C73" s="12"/>
      <x:c r="D73" s="12"/>
      <x:c r="E73" s="12"/>
      <x:c r="F73" s="12"/>
      <x:c r="G73" s="12"/>
      <x:c r="H73" s="12"/>
    </x:row>
    <x:row r="74">
      <x:c r="B74" s="12"/>
      <x:c r="C74" s="12"/>
      <x:c r="D74" s="12"/>
      <x:c r="E74" s="12"/>
      <x:c r="F74" s="12"/>
      <x:c r="G74" s="12"/>
      <x:c r="H74" s="12"/>
    </x:row>
    <x:row r="75">
      <x:c r="B75" s="12"/>
      <x:c r="C75" s="12"/>
      <x:c r="D75" s="12"/>
      <x:c r="E75" s="12"/>
      <x:c r="F75" s="12"/>
      <x:c r="G75" s="12"/>
      <x:c r="H75" s="12"/>
    </x:row>
    <x:row r="76">
      <x:c r="B76" s="12"/>
      <x:c r="C76" s="12"/>
      <x:c r="D76" s="12"/>
      <x:c r="E76" s="12"/>
      <x:c r="F76" s="12"/>
      <x:c r="G76" s="12"/>
      <x:c r="H76" s="12"/>
    </x:row>
    <x:row r="77">
      <x:c r="B77" s="12"/>
      <x:c r="C77" s="12"/>
      <x:c r="D77" s="12"/>
      <x:c r="E77" s="12"/>
      <x:c r="F77" s="12"/>
      <x:c r="G77" s="12"/>
      <x:c r="H77" s="12"/>
    </x:row>
    <x:row r="78">
      <x:c r="B78" s="12"/>
      <x:c r="C78" s="12"/>
      <x:c r="D78" s="12"/>
      <x:c r="E78" s="12"/>
      <x:c r="F78" s="12"/>
      <x:c r="G78" s="12"/>
      <x:c r="H78" s="12"/>
    </x:row>
    <x:row r="79">
      <x:c r="B79" s="12"/>
      <x:c r="C79" s="12"/>
      <x:c r="D79" s="12"/>
      <x:c r="E79" s="12"/>
      <x:c r="F79" s="12"/>
      <x:c r="G79" s="12"/>
      <x:c r="H79" s="12"/>
    </x:row>
    <x:row r="80">
      <x:c r="B80" s="12"/>
      <x:c r="C80" s="12"/>
      <x:c r="D80" s="12"/>
      <x:c r="E80" s="12"/>
      <x:c r="F80" s="12"/>
      <x:c r="G80" s="12"/>
      <x:c r="H80" s="12"/>
    </x:row>
    <x:row r="81">
      <x:c r="B81" s="12"/>
      <x:c r="C81" s="12"/>
      <x:c r="D81" s="12"/>
      <x:c r="E81" s="12"/>
      <x:c r="F81" s="12"/>
      <x:c r="G81" s="12"/>
      <x:c r="H81" s="12"/>
    </x:row>
    <x:row r="82">
      <x:c r="B82" s="12"/>
      <x:c r="C82" s="12"/>
      <x:c r="D82" s="12"/>
      <x:c r="E82" s="12"/>
      <x:c r="F82" s="12"/>
      <x:c r="G82" s="12"/>
      <x:c r="H82" s="12"/>
    </x:row>
    <x:row r="83">
      <x:c r="B83" s="12"/>
      <x:c r="C83" s="12"/>
      <x:c r="D83" s="12"/>
      <x:c r="E83" s="12"/>
      <x:c r="F83" s="12"/>
      <x:c r="G83" s="12"/>
      <x:c r="H83" s="12"/>
    </x:row>
    <x:row r="84">
      <x:c r="B84" s="12"/>
      <x:c r="C84" s="12"/>
      <x:c r="D84" s="12"/>
      <x:c r="E84" s="12"/>
      <x:c r="F84" s="12"/>
      <x:c r="G84" s="12"/>
      <x:c r="H84" s="12"/>
    </x:row>
    <x:row r="85">
      <x:c r="B85" s="12"/>
      <x:c r="C85" s="12"/>
      <x:c r="D85" s="12"/>
      <x:c r="E85" s="12"/>
      <x:c r="F85" s="12"/>
      <x:c r="G85" s="12"/>
      <x:c r="H85" s="12"/>
    </x:row>
    <x:row r="86">
      <x:c r="B86" s="12"/>
      <x:c r="C86" s="12"/>
      <x:c r="D86" s="12"/>
      <x:c r="E86" s="12"/>
      <x:c r="F86" s="12"/>
      <x:c r="G86" s="12"/>
      <x:c r="H86" s="12"/>
    </x:row>
    <x:row r="87">
      <x:c r="B87" s="12"/>
      <x:c r="C87" s="12"/>
      <x:c r="D87" s="12"/>
      <x:c r="E87" s="12"/>
      <x:c r="F87" s="12"/>
      <x:c r="G87" s="12"/>
      <x:c r="H87" s="12"/>
    </x:row>
    <x:row r="88">
      <x:c r="B88" s="12"/>
      <x:c r="C88" s="12"/>
      <x:c r="D88" s="12"/>
      <x:c r="E88" s="12"/>
      <x:c r="F88" s="12"/>
      <x:c r="G88" s="12"/>
      <x:c r="H88" s="12"/>
    </x:row>
    <x:row r="89">
      <x:c r="B89" s="12"/>
      <x:c r="C89" s="12"/>
      <x:c r="D89" s="12"/>
      <x:c r="E89" s="12"/>
      <x:c r="F89" s="12"/>
      <x:c r="G89" s="12"/>
      <x:c r="H89" s="12"/>
    </x:row>
    <x:row r="90">
      <x:c r="B90" s="12"/>
      <x:c r="C90" s="12"/>
      <x:c r="D90" s="12"/>
      <x:c r="E90" s="12"/>
      <x:c r="F90" s="12"/>
      <x:c r="G90" s="12"/>
      <x:c r="H90" s="12"/>
    </x:row>
    <x:row r="91">
      <x:c r="B91" s="12"/>
      <x:c r="C91" s="12"/>
      <x:c r="D91" s="12"/>
      <x:c r="E91" s="12"/>
      <x:c r="F91" s="12"/>
      <x:c r="G91" s="12"/>
      <x:c r="H91" s="12"/>
    </x:row>
    <x:row r="92">
      <x:c r="B92" s="12"/>
      <x:c r="C92" s="12"/>
      <x:c r="D92" s="12"/>
      <x:c r="E92" s="12"/>
      <x:c r="F92" s="12"/>
      <x:c r="G92" s="12"/>
      <x:c r="H92" s="12"/>
    </x:row>
    <x:row r="93">
      <x:c r="B93" s="12"/>
      <x:c r="C93" s="12"/>
      <x:c r="D93" s="12"/>
      <x:c r="E93" s="12"/>
      <x:c r="F93" s="12"/>
      <x:c r="G93" s="12"/>
      <x:c r="H93" s="12"/>
    </x:row>
    <x:row r="94">
      <x:c r="B94" s="12"/>
      <x:c r="C94" s="12"/>
      <x:c r="D94" s="12"/>
      <x:c r="E94" s="12"/>
      <x:c r="F94" s="12"/>
      <x:c r="G94" s="12"/>
      <x:c r="H94" s="12"/>
    </x:row>
    <x:row r="95">
      <x:c r="B95" s="12"/>
      <x:c r="C95" s="12"/>
      <x:c r="D95" s="12"/>
      <x:c r="E95" s="12"/>
      <x:c r="F95" s="12"/>
      <x:c r="G95" s="12"/>
      <x:c r="H95" s="12"/>
    </x:row>
    <x:row r="96">
      <x:c r="B96" s="12"/>
      <x:c r="C96" s="12"/>
      <x:c r="D96" s="12"/>
      <x:c r="E96" s="12"/>
      <x:c r="F96" s="12"/>
      <x:c r="G96" s="12"/>
      <x:c r="H96" s="12"/>
    </x:row>
    <x:row r="97">
      <x:c r="B97" s="12"/>
      <x:c r="C97" s="12"/>
      <x:c r="D97" s="12"/>
      <x:c r="E97" s="12"/>
      <x:c r="F97" s="12"/>
      <x:c r="G97" s="12"/>
      <x:c r="H97" s="12"/>
    </x:row>
    <x:row r="98">
      <x:c r="B98" s="12"/>
      <x:c r="C98" s="12"/>
      <x:c r="D98" s="12"/>
      <x:c r="E98" s="12"/>
      <x:c r="F98" s="12"/>
      <x:c r="G98" s="12"/>
      <x:c r="H98" s="12"/>
    </x:row>
    <x:row r="99">
      <x:c r="B99" s="12"/>
      <x:c r="C99" s="12"/>
      <x:c r="D99" s="12"/>
      <x:c r="E99" s="12"/>
      <x:c r="F99" s="12"/>
      <x:c r="G99" s="12"/>
      <x:c r="H99" s="12"/>
    </x:row>
    <x:row r="100">
      <x:c r="B100" s="12"/>
      <x:c r="C100" s="12"/>
      <x:c r="D100" s="12"/>
      <x:c r="E100" s="12"/>
      <x:c r="F100" s="12"/>
      <x:c r="G100" s="12"/>
      <x:c r="H100" s="12"/>
    </x:row>
    <x:row r="101">
      <x:c r="B101" s="12"/>
      <x:c r="C101" s="12"/>
      <x:c r="D101" s="12"/>
      <x:c r="E101" s="12"/>
      <x:c r="F101" s="12"/>
      <x:c r="G101" s="12"/>
      <x:c r="H101" s="12"/>
    </x:row>
    <x:row r="102">
      <x:c r="B102" s="12"/>
      <x:c r="C102" s="12"/>
      <x:c r="D102" s="12"/>
      <x:c r="E102" s="12"/>
      <x:c r="F102" s="12"/>
      <x:c r="G102" s="12"/>
      <x:c r="H102" s="12"/>
    </x:row>
    <x:row r="103">
      <x:c r="B103" s="12"/>
      <x:c r="C103" s="12"/>
      <x:c r="D103" s="12"/>
      <x:c r="E103" s="12"/>
      <x:c r="F103" s="12"/>
      <x:c r="G103" s="12"/>
      <x:c r="H103" s="12"/>
    </x:row>
    <x:row r="104">
      <x:c r="B104" s="12"/>
      <x:c r="C104" s="12"/>
      <x:c r="D104" s="12"/>
      <x:c r="E104" s="12"/>
      <x:c r="F104" s="12"/>
      <x:c r="G104" s="12"/>
      <x:c r="H104" s="12"/>
    </x:row>
    <x:row r="105">
      <x:c r="B105" s="12"/>
      <x:c r="C105" s="12"/>
      <x:c r="D105" s="12"/>
      <x:c r="E105" s="12"/>
      <x:c r="F105" s="12"/>
      <x:c r="G105" s="12"/>
      <x:c r="H105" s="12"/>
    </x:row>
    <x:row r="106">
      <x:c r="B106" s="12"/>
      <x:c r="C106" s="12"/>
      <x:c r="D106" s="12"/>
      <x:c r="E106" s="12"/>
      <x:c r="F106" s="12"/>
      <x:c r="G106" s="12"/>
      <x:c r="H106" s="12"/>
    </x:row>
    <x:row r="107">
      <x:c r="B107" s="12"/>
      <x:c r="C107" s="12"/>
      <x:c r="D107" s="12"/>
      <x:c r="E107" s="12"/>
      <x:c r="F107" s="12"/>
      <x:c r="G107" s="12"/>
      <x:c r="H107" s="12"/>
    </x:row>
    <x:row r="108">
      <x:c r="B108" s="12"/>
      <x:c r="C108" s="12"/>
      <x:c r="D108" s="12"/>
      <x:c r="E108" s="12"/>
      <x:c r="F108" s="12"/>
      <x:c r="G108" s="12"/>
      <x:c r="H108" s="12"/>
    </x:row>
    <x:row r="109">
      <x:c r="B109" s="12"/>
      <x:c r="C109" s="12"/>
      <x:c r="D109" s="12"/>
      <x:c r="E109" s="12"/>
      <x:c r="F109" s="12"/>
      <x:c r="G109" s="12"/>
      <x:c r="H109" s="12"/>
    </x:row>
    <x:row r="110">
      <x:c r="B110" s="12"/>
      <x:c r="C110" s="12"/>
      <x:c r="D110" s="12"/>
      <x:c r="E110" s="12"/>
      <x:c r="F110" s="12"/>
      <x:c r="G110" s="12"/>
      <x:c r="H110" s="12"/>
    </x:row>
    <x:row r="111">
      <x:c r="B111" s="12"/>
      <x:c r="C111" s="12"/>
      <x:c r="D111" s="12"/>
      <x:c r="E111" s="12"/>
      <x:c r="F111" s="12"/>
      <x:c r="G111" s="12"/>
      <x:c r="H111" s="12"/>
    </x:row>
    <x:row r="112">
      <x:c r="B112" s="12"/>
      <x:c r="C112" s="12"/>
      <x:c r="D112" s="12"/>
      <x:c r="E112" s="12"/>
      <x:c r="F112" s="12"/>
      <x:c r="G112" s="12"/>
      <x:c r="H112" s="12"/>
    </x:row>
    <x:row r="113">
      <x:c r="B113" s="12"/>
      <x:c r="C113" s="12"/>
      <x:c r="D113" s="12"/>
      <x:c r="E113" s="12"/>
      <x:c r="F113" s="12"/>
      <x:c r="G113" s="12"/>
      <x:c r="H113" s="12"/>
    </x:row>
    <x:row r="114">
      <x:c r="B114" s="12"/>
      <x:c r="C114" s="12"/>
      <x:c r="D114" s="12"/>
      <x:c r="E114" s="12"/>
      <x:c r="F114" s="12"/>
      <x:c r="G114" s="12"/>
      <x:c r="H114" s="12"/>
    </x:row>
    <x:row r="115">
      <x:c r="B115" s="12"/>
      <x:c r="C115" s="12"/>
      <x:c r="D115" s="12"/>
      <x:c r="E115" s="12"/>
      <x:c r="F115" s="12"/>
      <x:c r="G115" s="12"/>
      <x:c r="H115" s="12"/>
    </x:row>
    <x:row r="116">
      <x:c r="B116" s="12"/>
      <x:c r="C116" s="12"/>
      <x:c r="D116" s="12"/>
      <x:c r="E116" s="12"/>
      <x:c r="F116" s="12"/>
      <x:c r="G116" s="12"/>
      <x:c r="H116" s="12"/>
    </x:row>
    <x:row r="117">
      <x:c r="B117" s="12"/>
      <x:c r="C117" s="12"/>
      <x:c r="D117" s="12"/>
      <x:c r="E117" s="12"/>
      <x:c r="F117" s="12"/>
      <x:c r="G117" s="12"/>
      <x:c r="H117" s="12"/>
    </x:row>
    <x:row r="118">
      <x:c r="B118" s="12"/>
      <x:c r="C118" s="12"/>
      <x:c r="D118" s="12"/>
      <x:c r="E118" s="12"/>
      <x:c r="F118" s="12"/>
      <x:c r="G118" s="12"/>
      <x:c r="H118" s="12"/>
    </x:row>
    <x:row r="119">
      <x:c r="B119" s="12"/>
      <x:c r="C119" s="12"/>
      <x:c r="D119" s="12"/>
      <x:c r="E119" s="12"/>
      <x:c r="F119" s="12"/>
      <x:c r="G119" s="12"/>
      <x:c r="H119" s="12"/>
    </x:row>
    <x:row r="120">
      <x:c r="B120" s="12"/>
      <x:c r="C120" s="12"/>
      <x:c r="D120" s="12"/>
      <x:c r="E120" s="12"/>
      <x:c r="F120" s="12"/>
      <x:c r="G120" s="12"/>
      <x:c r="H120" s="12"/>
    </x:row>
    <x:row r="121">
      <x:c r="B121" s="12"/>
      <x:c r="C121" s="12"/>
      <x:c r="D121" s="12"/>
      <x:c r="E121" s="12"/>
      <x:c r="F121" s="12"/>
      <x:c r="G121" s="12"/>
      <x:c r="H121" s="12"/>
    </x:row>
    <x:row r="122">
      <x:c r="B122" s="12"/>
      <x:c r="C122" s="12"/>
      <x:c r="D122" s="12"/>
      <x:c r="E122" s="12"/>
      <x:c r="F122" s="12"/>
      <x:c r="G122" s="12"/>
      <x:c r="H122" s="12"/>
    </x:row>
    <x:row r="123">
      <x:c r="B123" s="12"/>
      <x:c r="C123" s="12"/>
      <x:c r="D123" s="12"/>
      <x:c r="E123" s="12"/>
      <x:c r="F123" s="12"/>
      <x:c r="G123" s="12"/>
      <x:c r="H123" s="12"/>
    </x:row>
    <x:row r="124">
      <x:c r="B124" s="12"/>
      <x:c r="C124" s="12"/>
      <x:c r="D124" s="12"/>
      <x:c r="E124" s="12"/>
      <x:c r="F124" s="12"/>
      <x:c r="G124" s="12"/>
      <x:c r="H124" s="12"/>
    </x:row>
    <x:row r="125">
      <x:c r="B125" s="12"/>
      <x:c r="C125" s="12"/>
      <x:c r="D125" s="12"/>
      <x:c r="E125" s="12"/>
      <x:c r="F125" s="12"/>
      <x:c r="G125" s="12"/>
      <x:c r="H125" s="12"/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51" hidden="0" customWidth="1"/>
    <x:col min="10" max="10" width="70" hidden="0" customWidth="1"/>
  </x:cols>
  <x:sheetData>
    <x:row r="1" ht="23" customHeight="1">
      <x:c r="A1" s="74" t="str">
        <x:v>SMSM | Operating Net Working Capital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23" customHeight="1">
      <x:c r="A2" s="74"/>
      <x:c r="B2" s="74"/>
      <x:c r="C2" s="74"/>
      <x:c r="D2" s="74"/>
      <x:c r="E2" s="74"/>
      <x:c r="F2" s="74"/>
      <x:c r="G2" s="74"/>
      <x:c r="H2" s="74"/>
      <x:c r="I2" s="74"/>
      <x:c r="J2" s="74"/>
    </x:row>
    <x:row r="3" ht="25" customHeight="1">
      <x:c r="A3" s="75" t="str">
        <x:v>Rp million • 2022 column is RESTATED opening at 1 Jan 2023, not originally reported FY2022</x:v>
      </x:c>
      <x:c r="B3" s="75"/>
      <x:c r="C3" s="75"/>
      <x:c r="D3" s="75"/>
      <x:c r="E3" s="75"/>
      <x:c r="F3" s="75"/>
      <x:c r="G3" s="75"/>
      <x:c r="H3" s="75"/>
      <x:c r="I3" s="75"/>
      <x:c r="J3" s="75"/>
    </x:row>
    <x:row r="5">
      <x:c r="B5" s="12"/>
      <x:c r="C5" s="12"/>
      <x:c r="D5" s="12"/>
      <x:c r="E5" s="12"/>
      <x:c r="F5" s="12"/>
      <x:c r="G5" s="12"/>
      <x:c r="H5" s="12"/>
    </x:row>
    <x:row r="6" ht="25" customHeight="1">
      <x:c r="A6" s="28" t="str">
        <x:v>NWC category / control</x:v>
      </x:c>
      <x:c r="B6" s="58" t="str">
        <x:v>FY2022 RS*</x:v>
      </x:c>
      <x:c r="C6" s="58" t="str">
        <x:v>FY2023 RS</x:v>
      </x:c>
      <x:c r="D6" s="58" t="str">
        <x:v>FY2024</x:v>
      </x:c>
      <x:c r="E6" s="58" t="str">
        <x:v>FY2025</x:v>
      </x:c>
      <x:c r="F6" s="58" t="str">
        <x:v>H1 2026</x:v>
      </x:c>
      <x:c r="G6" s="58" t="str">
        <x:v>Classification</x:v>
      </x:c>
      <x:c r="H6" s="58" t="str">
        <x:v>Source note</x:v>
      </x:c>
      <x:c r="I6" s="28" t="str">
        <x:v>Reference URL</x:v>
      </x:c>
      <x:c r="J6" s="28" t="str">
        <x:v>Reason / inclusion</x:v>
      </x:c>
    </x:row>
    <x:row r="7">
      <x:c r="A7" s="50" t="str">
        <x:v>Trade receivables — third parties</x:v>
      </x:c>
      <x:c r="B7" s="36" t="n">
        <x:v>882943</x:v>
      </x:c>
      <x:c r="C7" s="36" t="n">
        <x:v>1057484</x:v>
      </x:c>
      <x:c r="D7" s="36" t="n">
        <x:v>1041464</x:v>
      </x:c>
      <x:c r="E7" s="36" t="n">
        <x:v>1173342</x:v>
      </x:c>
      <x:c r="F7" s="36" t="n">
        <x:v>1176287</x:v>
      </x:c>
      <x:c r="G7" s="12" t="str">
        <x:v>Operating asset</x:v>
      </x:c>
      <x:c r="H7" s="12" t="str">
        <x:v>FY2024 audited / FY2025 audited / H1 2026</x:v>
      </x:c>
      <x:c r="I7" t="str">
        <x:v>https://smsm.co.id/uploads/attachment/Annual%20Report%20SMSM%202025.pdf</x:v>
      </x:c>
      <x:c r="J7" t="str">
        <x:v>trade receivables; use net</x:v>
      </x:c>
    </x:row>
    <x:row r="8">
      <x:c r="A8" s="50" t="str">
        <x:v>Trade receivables — related parties</x:v>
      </x:c>
      <x:c r="B8" s="36" t="n">
        <x:v>20455</x:v>
      </x:c>
      <x:c r="C8" s="36" t="n">
        <x:v>22919</x:v>
      </x:c>
      <x:c r="D8" s="36" t="n">
        <x:v>33990</x:v>
      </x:c>
      <x:c r="E8" s="36" t="n">
        <x:v>20135</x:v>
      </x:c>
      <x:c r="F8" s="36" t="n">
        <x:v>18382</x:v>
      </x:c>
      <x:c r="G8" s="12" t="str">
        <x:v>Operating asset</x:v>
      </x:c>
      <x:c r="H8" s="12" t="str">
        <x:v>FY2024 audited / FY2025 audited / H1 2026</x:v>
      </x:c>
      <x:c r="I8" t="str">
        <x:v>https://smsm.co.id/uploads/attachment/Annual%20Report%20SMSM%202025.pdf</x:v>
      </x:c>
      <x:c r="J8" t="str">
        <x:v>exclude only nontrade affiliate financing</x:v>
      </x:c>
    </x:row>
    <x:row r="9">
      <x:c r="A9" s="50" t="str">
        <x:v>Other receivables — third parties</x:v>
      </x:c>
      <x:c r="B9" s="36" t="n">
        <x:v>4450</x:v>
      </x:c>
      <x:c r="C9" s="36" t="n">
        <x:v>5474</x:v>
      </x:c>
      <x:c r="D9" s="36" t="n">
        <x:v>3810</x:v>
      </x:c>
      <x:c r="E9" s="36" t="n">
        <x:v>4612</x:v>
      </x:c>
      <x:c r="F9" s="36" t="n">
        <x:v>3143</x:v>
      </x:c>
      <x:c r="G9" s="12" t="str">
        <x:v>Operating proxy</x:v>
      </x:c>
      <x:c r="H9" s="12" t="str">
        <x:v>FY2024 audited / FY2025 audited / H1 2026</x:v>
      </x:c>
      <x:c r="I9" t="str">
        <x:v>https://smsm.co.id/uploads/attachment/Annual%20Report%20SMSM%202025.pdf</x:v>
      </x:c>
      <x:c r="J9" t="str">
        <x:v>small balances; default operating</x:v>
      </x:c>
    </x:row>
    <x:row r="10">
      <x:c r="A10" s="50" t="str">
        <x:v>Other receivables — related parties</x:v>
      </x:c>
      <x:c r="B10" s="36" t="n">
        <x:v>14</x:v>
      </x:c>
      <x:c r="C10" s="36" t="n">
        <x:v>15</x:v>
      </x:c>
      <x:c r="D10" s="36" t="n">
        <x:v>13</x:v>
      </x:c>
      <x:c r="E10" s="36" t="n">
        <x:v>27</x:v>
      </x:c>
      <x:c r="F10" s="36" t="n">
        <x:v>9</x:v>
      </x:c>
      <x:c r="G10" s="12" t="str">
        <x:v>Operating proxy</x:v>
      </x:c>
      <x:c r="H10" s="12" t="str">
        <x:v>FY2024 audited / FY2025 audited / H1 2026</x:v>
      </x:c>
      <x:c r="I10" t="str">
        <x:v>https://smsm.co.id/uploads/attachment/Annual%20Report%20SMSM%202025.pdf</x:v>
      </x:c>
      <x:c r="J10" t="str">
        <x:v>small; verify if lending-like</x:v>
      </x:c>
    </x:row>
    <x:row r="11">
      <x:c r="A11" s="50" t="str">
        <x:v>Inventories (net)</x:v>
      </x:c>
      <x:c r="B11" s="36" t="n">
        <x:v>1174803</x:v>
      </x:c>
      <x:c r="C11" s="36" t="n">
        <x:v>1020525</x:v>
      </x:c>
      <x:c r="D11" s="36" t="n">
        <x:v>1244359</x:v>
      </x:c>
      <x:c r="E11" s="36" t="n">
        <x:v>1250326</x:v>
      </x:c>
      <x:c r="F11" s="36" t="n">
        <x:v>1622458</x:v>
      </x:c>
      <x:c r="G11" s="12" t="str">
        <x:v>Operating asset</x:v>
      </x:c>
      <x:c r="H11" s="12" t="str">
        <x:v>FY2024 audited / FY2025 audited / H1 2026</x:v>
      </x:c>
      <x:c r="I11" t="str">
        <x:v>https://smsm.co.id/uploads/attachment/Annual%20Report%20SMSM%202025.pdf</x:v>
      </x:c>
      <x:c r="J11" t="str">
        <x:v>net of inventory allowance</x:v>
      </x:c>
    </x:row>
    <x:row r="12">
      <x:c r="A12" s="50" t="str">
        <x:v>Purchasing advances — operating</x:v>
      </x:c>
      <x:c r="B12" s="36" t="n">
        <x:v>17018</x:v>
      </x:c>
      <x:c r="C12" s="36" t="n">
        <x:v>13527</x:v>
      </x:c>
      <x:c r="D12" s="36" t="n">
        <x:v>46923</x:v>
      </x:c>
      <x:c r="E12" s="36" t="n">
        <x:v>17951</x:v>
      </x:c>
      <x:c r="F12" s="36" t="n">
        <x:v>63643</x:v>
      </x:c>
      <x:c r="G12" s="12" t="str">
        <x:v>Operating asset</x:v>
      </x:c>
      <x:c r="H12" s="12" t="str">
        <x:v>FY2024 audited / FY2025 audited / H1 2026</x:v>
      </x:c>
      <x:c r="I12" t="str">
        <x:v>https://smsm.co.id/uploads/attachment/Annual%20Report%20SMSM%202025.pdf</x:v>
      </x:c>
      <x:c r="J12" t="str">
        <x:v>current advances; NOT non-current fixed-asset advances</x:v>
      </x:c>
    </x:row>
    <x:row r="13">
      <x:c r="A13" s="50" t="str">
        <x:v>Prepaid operating expenses</x:v>
      </x:c>
      <x:c r="B13" s="36" t="n">
        <x:v>6034</x:v>
      </x:c>
      <x:c r="C13" s="36" t="n">
        <x:v>9653</x:v>
      </x:c>
      <x:c r="D13" s="36" t="n">
        <x:v>9040</x:v>
      </x:c>
      <x:c r="E13" s="36" t="n">
        <x:v>9913</x:v>
      </x:c>
      <x:c r="F13" s="36" t="n">
        <x:v>10276</x:v>
      </x:c>
      <x:c r="G13" s="12" t="str">
        <x:v>Operating asset</x:v>
      </x:c>
      <x:c r="H13" s="12" t="str">
        <x:v>FY2024 audited / FY2025 audited / H1 2026</x:v>
      </x:c>
      <x:c r="I13" t="str">
        <x:v>https://smsm.co.id/uploads/attachment/Annual%20Report%20SMSM%202025.pdf</x:v>
      </x:c>
      <x:c r="J13" t="str">
        <x:v>current prepayments</x:v>
      </x:c>
    </x:row>
    <x:row r="14">
      <x:c r="A14" s="50" t="str">
        <x:v>Other current operating assets</x:v>
      </x:c>
      <x:c r="B14" s="36" t="n">
        <x:v>697</x:v>
      </x:c>
      <x:c r="C14" s="36" t="n">
        <x:v>192</x:v>
      </x:c>
      <x:c r="D14" s="36" t="n">
        <x:v>826</x:v>
      </x:c>
      <x:c r="E14" s="36" t="n">
        <x:v>725</x:v>
      </x:c>
      <x:c r="F14" s="36" t="n">
        <x:v>603</x:v>
      </x:c>
      <x:c r="G14" s="12" t="str">
        <x:v>Operating proxy</x:v>
      </x:c>
      <x:c r="H14" s="12" t="str">
        <x:v>FY2024 audited / FY2025 audited / H1 2026</x:v>
      </x:c>
      <x:c r="I14" t="str">
        <x:v>https://smsm.co.id/uploads/attachment/Annual%20Report%20SMSM%202025.pdf</x:v>
      </x:c>
      <x:c r="J14" t="str">
        <x:v>exclude tax-prepaid, cash</x:v>
      </x:c>
    </x:row>
    <x:row r="15">
      <x:c r="A15" s="62" t="str">
        <x:v>TOTAL OPERATING CURRENT ASSETS</x:v>
      </x:c>
      <x:c r="B15" s="63" t="n">
        <x:f>SUM(B7:B14)</x:f>
        <x:v>2106414</x:v>
      </x:c>
      <x:c r="C15" s="63" t="n">
        <x:f>SUM(C7:C14)</x:f>
        <x:v>2129789</x:v>
      </x:c>
      <x:c r="D15" s="63" t="n">
        <x:f>SUM(D7:D14)</x:f>
        <x:v>2380425</x:v>
      </x:c>
      <x:c r="E15" s="63" t="n">
        <x:f>SUM(E7:E14)</x:f>
        <x:v>2477031</x:v>
      </x:c>
      <x:c r="F15" s="63" t="n">
        <x:f>SUM(F7:F14)</x:f>
        <x:v>2894801</x:v>
      </x:c>
      <x:c r="G15" s="12"/>
      <x:c r="H15" s="12"/>
    </x:row>
    <x:row r="16" ht="23" customHeight="1">
      <x:c r="A16" s="51" t="str">
        <x:v>OPERATING LIABILITIES</x:v>
      </x:c>
      <x:c r="B16" s="16"/>
      <x:c r="C16" s="16"/>
      <x:c r="D16" s="16"/>
      <x:c r="E16" s="16"/>
      <x:c r="F16" s="16"/>
      <x:c r="G16" s="16"/>
      <x:c r="H16" s="16"/>
      <x:c r="I16" s="15"/>
      <x:c r="J16" s="15"/>
    </x:row>
    <x:row r="17">
      <x:c r="A17" s="50" t="str">
        <x:v>Trade payables — third parties</x:v>
      </x:c>
      <x:c r="B17" s="36" t="n">
        <x:v>234488</x:v>
      </x:c>
      <x:c r="C17" s="36" t="n">
        <x:v>230304</x:v>
      </x:c>
      <x:c r="D17" s="36" t="n">
        <x:v>334145</x:v>
      </x:c>
      <x:c r="E17" s="36" t="n">
        <x:v>262255</x:v>
      </x:c>
      <x:c r="F17" s="36" t="n">
        <x:v>381650</x:v>
      </x:c>
      <x:c r="G17" s="12" t="str">
        <x:v>Operating liability</x:v>
      </x:c>
      <x:c r="H17" s="12" t="str">
        <x:v>FY2024 audited / FY2025 audited / H1 2026</x:v>
      </x:c>
      <x:c r="I17" t="str">
        <x:v>https://smsm.co.id/uploads/attachment/Annual%20Report%20SMSM%202025.pdf</x:v>
      </x:c>
      <x:c r="J17" t="str">
        <x:v>trade financing</x:v>
      </x:c>
    </x:row>
    <x:row r="18">
      <x:c r="A18" s="50" t="str">
        <x:v>Trade payables — related parties</x:v>
      </x:c>
      <x:c r="B18" s="36" t="n">
        <x:v>28239</x:v>
      </x:c>
      <x:c r="C18" s="36" t="n">
        <x:v>29064</x:v>
      </x:c>
      <x:c r="D18" s="36" t="n">
        <x:v>35125</x:v>
      </x:c>
      <x:c r="E18" s="36" t="n">
        <x:v>28837</x:v>
      </x:c>
      <x:c r="F18" s="36" t="n">
        <x:v>30132</x:v>
      </x:c>
      <x:c r="G18" s="12" t="str">
        <x:v>Operating liability</x:v>
      </x:c>
      <x:c r="H18" s="12" t="str">
        <x:v>FY2024 audited / FY2025 audited / H1 2026</x:v>
      </x:c>
      <x:c r="I18" t="str">
        <x:v>https://smsm.co.id/uploads/attachment/Annual%20Report%20SMSM%202025.pdf</x:v>
      </x:c>
      <x:c r="J18" t="str">
        <x:v>trade payables</x:v>
      </x:c>
    </x:row>
    <x:row r="19">
      <x:c r="A19" s="50" t="str">
        <x:v>Other payables — third parties</x:v>
      </x:c>
      <x:c r="B19" s="36" t="n">
        <x:v>6853</x:v>
      </x:c>
      <x:c r="C19" s="36" t="n">
        <x:v>6422</x:v>
      </x:c>
      <x:c r="D19" s="36" t="n">
        <x:v>7348</x:v>
      </x:c>
      <x:c r="E19" s="36" t="n">
        <x:v>8685</x:v>
      </x:c>
      <x:c r="F19" s="36" t="n">
        <x:v>9848</x:v>
      </x:c>
      <x:c r="G19" s="12" t="str">
        <x:v>Operating proxy</x:v>
      </x:c>
      <x:c r="H19" s="12" t="str">
        <x:v>FY2024 audited / FY2025 audited / H1 2026</x:v>
      </x:c>
      <x:c r="I19" t="str">
        <x:v>https://smsm.co.id/uploads/attachment/Annual%20Report%20SMSM%202025.pdf</x:v>
      </x:c>
      <x:c r="J19" t="str">
        <x:v>exclude non-operating if material</x:v>
      </x:c>
    </x:row>
    <x:row r="20">
      <x:c r="A20" s="50" t="str">
        <x:v>Other payables — related parties</x:v>
      </x:c>
      <x:c r="B20" s="36" t="n">
        <x:v>23</x:v>
      </x:c>
      <x:c r="C20" s="36" t="n">
        <x:v>27</x:v>
      </x:c>
      <x:c r="D20" s="36" t="n">
        <x:v>32</x:v>
      </x:c>
      <x:c r="E20" s="36" t="n">
        <x:v>25</x:v>
      </x:c>
      <x:c r="F20" s="36" t="n">
        <x:v>8</x:v>
      </x:c>
      <x:c r="G20" s="12" t="str">
        <x:v>Operating proxy</x:v>
      </x:c>
      <x:c r="H20" s="12" t="str">
        <x:v>FY2024 audited / FY2025 audited / H1 2026</x:v>
      </x:c>
      <x:c r="I20" t="str">
        <x:v>https://smsm.co.id/uploads/attachment/Annual%20Report%20SMSM%202025.pdf</x:v>
      </x:c>
      <x:c r="J20" t="str">
        <x:v>minor amounts</x:v>
      </x:c>
    </x:row>
    <x:row r="21">
      <x:c r="A21" s="50" t="str">
        <x:v>Accrued expenses</x:v>
      </x:c>
      <x:c r="B21" s="36" t="n">
        <x:v>27469</x:v>
      </x:c>
      <x:c r="C21" s="36" t="n">
        <x:v>31940</x:v>
      </x:c>
      <x:c r="D21" s="36" t="n">
        <x:v>51245</x:v>
      </x:c>
      <x:c r="E21" s="36" t="n">
        <x:v>54250</x:v>
      </x:c>
      <x:c r="F21" s="36" t="n">
        <x:v>42709</x:v>
      </x:c>
      <x:c r="G21" s="12" t="str">
        <x:v>Operating liability</x:v>
      </x:c>
      <x:c r="H21" s="12" t="str">
        <x:v>FY2024 audited / FY2025 audited / H1 2026</x:v>
      </x:c>
      <x:c r="I21" t="str">
        <x:v>https://smsm.co.id/uploads/attachment/Annual%20Report%20SMSM%202025.pdf</x:v>
      </x:c>
      <x:c r="J21" t="str">
        <x:v>accruals, excluding debt/lease interest if included</x:v>
      </x:c>
    </x:row>
    <x:row r="22">
      <x:c r="A22" s="50" t="str">
        <x:v>Customer advances</x:v>
      </x:c>
      <x:c r="B22" s="36" t="n">
        <x:v>87627</x:v>
      </x:c>
      <x:c r="C22" s="36" t="n">
        <x:v>39422</x:v>
      </x:c>
      <x:c r="D22" s="36" t="n">
        <x:v>55903</x:v>
      </x:c>
      <x:c r="E22" s="36" t="n">
        <x:v>22666</x:v>
      </x:c>
      <x:c r="F22" s="36" t="n">
        <x:v>24847</x:v>
      </x:c>
      <x:c r="G22" s="12" t="str">
        <x:v>Operating liability</x:v>
      </x:c>
      <x:c r="H22" s="12" t="str">
        <x:v>FY2024 audited / FY2025 audited / H1 2026</x:v>
      </x:c>
      <x:c r="I22" t="str">
        <x:v>https://smsm.co.id/uploads/attachment/Annual%20Report%20SMSM%202025.pdf</x:v>
      </x:c>
      <x:c r="J22" t="str">
        <x:v>deferred customer billings</x:v>
      </x:c>
    </x:row>
    <x:row r="23">
      <x:c r="A23" s="50" t="str">
        <x:v>Short-term employee-benefit obligations</x:v>
      </x:c>
      <x:c r="B23" s="36" t="n">
        <x:v>70891</x:v>
      </x:c>
      <x:c r="C23" s="36" t="n">
        <x:v>64258</x:v>
      </x:c>
      <x:c r="D23" s="36" t="n">
        <x:v>65745</x:v>
      </x:c>
      <x:c r="E23" s="36" t="n">
        <x:v>60769</x:v>
      </x:c>
      <x:c r="F23" s="36" t="n">
        <x:v>57155</x:v>
      </x:c>
      <x:c r="G23" s="12" t="str">
        <x:v>Operating liability</x:v>
      </x:c>
      <x:c r="H23" s="12" t="str">
        <x:v>FY2024 audited / FY2025 audited / H1 2026</x:v>
      </x:c>
      <x:c r="I23" t="str">
        <x:v>https://smsm.co.id/uploads/attachment/Annual%20Report%20SMSM%202025.pdf</x:v>
      </x:c>
      <x:c r="J23" t="str">
        <x:v>working-compensation accruals</x:v>
      </x:c>
    </x:row>
    <x:row r="24">
      <x:c r="A24" s="50" t="str">
        <x:v>Other current operating liabilities</x:v>
      </x:c>
      <x:c r="B24" s="36" t="n">
        <x:v>550</x:v>
      </x:c>
      <x:c r="C24" s="36" t="n">
        <x:v>279</x:v>
      </x:c>
      <x:c r="D24" s="36" t="n">
        <x:v>345</x:v>
      </x:c>
      <x:c r="E24" s="36" t="n">
        <x:v>0</x:v>
      </x:c>
      <x:c r="F24" s="36" t="n">
        <x:v>0</x:v>
      </x:c>
      <x:c r="G24" s="12" t="str">
        <x:v>Operating proxy</x:v>
      </x:c>
      <x:c r="H24" s="12" t="str">
        <x:v>FY2024 audited / FY2025 audited / H1 2026</x:v>
      </x:c>
      <x:c r="I24" t="str">
        <x:v>https://smsm.co.id/uploads/attachment/Annual%20Report%20SMSM%202025.pdf</x:v>
      </x:c>
      <x:c r="J24" t="str">
        <x:v>minor residual; not dividend/debt/tax</x:v>
      </x:c>
    </x:row>
    <x:row r="25">
      <x:c r="A25" s="62" t="str">
        <x:v>TOTAL OPERATING CURRENT LIABILITIES</x:v>
      </x:c>
      <x:c r="B25" s="63" t="n">
        <x:f>SUM(B17:B24)</x:f>
        <x:v>456140</x:v>
      </x:c>
      <x:c r="C25" s="63" t="n">
        <x:f>SUM(C17:C24)</x:f>
        <x:v>401716</x:v>
      </x:c>
      <x:c r="D25" s="63" t="n">
        <x:f>SUM(D17:D24)</x:f>
        <x:v>549888</x:v>
      </x:c>
      <x:c r="E25" s="63" t="n">
        <x:f>SUM(E17:E24)</x:f>
        <x:v>437487</x:v>
      </x:c>
      <x:c r="F25" s="63" t="n">
        <x:f>SUM(F17:F24)</x:f>
        <x:v>546349</x:v>
      </x:c>
      <x:c r="G25" s="12"/>
      <x:c r="H25" s="12"/>
    </x:row>
    <x:row r="26">
      <x:c r="A26" s="50"/>
      <x:c r="B26" s="12"/>
      <x:c r="C26" s="12"/>
      <x:c r="D26" s="12"/>
      <x:c r="E26" s="12"/>
      <x:c r="F26" s="12"/>
      <x:c r="G26" s="12"/>
      <x:c r="H26" s="12"/>
    </x:row>
    <x:row r="27">
      <x:c r="A27" s="62" t="str">
        <x:v>NET OPERATING WORKING CAPITAL</x:v>
      </x:c>
      <x:c r="B27" s="63" t="n">
        <x:f>B15-B25</x:f>
        <x:v>1650274</x:v>
      </x:c>
      <x:c r="C27" s="63" t="n">
        <x:f>C15-C25</x:f>
        <x:v>1728073</x:v>
      </x:c>
      <x:c r="D27" s="63" t="n">
        <x:f>D15-D25</x:f>
        <x:v>1830537</x:v>
      </x:c>
      <x:c r="E27" s="63" t="n">
        <x:f>E15-E25</x:f>
        <x:v>2039544</x:v>
      </x:c>
      <x:c r="F27" s="63" t="n">
        <x:f>F15-F25</x:f>
        <x:v>2348452</x:v>
      </x:c>
      <x:c r="G27" s="12"/>
      <x:c r="H27" s="12"/>
    </x:row>
    <x:row r="28">
      <x:c r="A28" s="62" t="str">
        <x:v>Δ NWC versus prior comparable period</x:v>
      </x:c>
      <x:c r="B28" s="66"/>
      <x:c r="C28" s="63" t="n">
        <x:f>C27-B27</x:f>
        <x:v>77799</x:v>
      </x:c>
      <x:c r="D28" s="63" t="n">
        <x:f>D27-C27</x:f>
        <x:v>102464</x:v>
      </x:c>
      <x:c r="E28" s="63" t="n">
        <x:f>E27-D27</x:f>
        <x:v>209007</x:v>
      </x:c>
      <x:c r="F28" s="63" t="n">
        <x:f>F27-E27</x:f>
        <x:v>308908</x:v>
      </x:c>
      <x:c r="G28" s="12"/>
      <x:c r="H28" s="12"/>
      <x:c r="J28" t="str">
        <x:v>H1 2026 ΔNWC is six-month balance movement; NOT annualized.</x:v>
      </x:c>
    </x:row>
    <x:row r="29">
      <x:c r="A29" s="50"/>
      <x:c r="B29" s="12"/>
      <x:c r="C29" s="12"/>
      <x:c r="D29" s="12"/>
      <x:c r="E29" s="12"/>
      <x:c r="F29" s="12"/>
      <x:c r="G29" s="12"/>
      <x:c r="H29" s="12"/>
    </x:row>
    <x:row r="30">
      <x:c r="A30" s="50" t="str">
        <x:v>CONTROL — Total current assets (reported)</x:v>
      </x:c>
      <x:c r="B30" s="36" t="n">
        <x:v>3133332</x:v>
      </x:c>
      <x:c r="C30" s="36" t="n">
        <x:v>3320685</x:v>
      </x:c>
      <x:c r="D30" s="36" t="n">
        <x:v>3599989</x:v>
      </x:c>
      <x:c r="E30" s="36" t="n">
        <x:v>3723687</x:v>
      </x:c>
      <x:c r="F30" s="36" t="n">
        <x:v>4314777</x:v>
      </x:c>
      <x:c r="G30" s="12"/>
      <x:c r="H30" s="12"/>
    </x:row>
    <x:row r="31">
      <x:c r="A31" s="50" t="str">
        <x:v>CONTROL — Excluded cash/time deposits/taxes</x:v>
      </x:c>
      <x:c r="B31" s="38" t="n">
        <x:f>SUM(B42:B44)</x:f>
        <x:v>1026918</x:v>
      </x:c>
      <x:c r="C31" s="38" t="n">
        <x:f>SUM(C42:C44)</x:f>
        <x:v>1190896</x:v>
      </x:c>
      <x:c r="D31" s="38" t="n">
        <x:f>SUM(D42:D44)</x:f>
        <x:v>1219564</x:v>
      </x:c>
      <x:c r="E31" s="38" t="n">
        <x:f>SUM(E42:E44)</x:f>
        <x:v>1246656</x:v>
      </x:c>
      <x:c r="F31" s="38" t="n">
        <x:f>SUM(F42:F44)</x:f>
        <x:v>1419976</x:v>
      </x:c>
      <x:c r="G31" s="12"/>
      <x:c r="H31" s="12"/>
    </x:row>
    <x:row r="32">
      <x:c r="A32" s="50" t="str">
        <x:v>CONTROL — Other non-operating current assets</x:v>
      </x:c>
      <x:c r="B32" s="38" t="n">
        <x:f>B30-B15-B31</x:f>
        <x:v>0</x:v>
      </x:c>
      <x:c r="C32" s="38" t="n">
        <x:f>C30-C15-C31</x:f>
        <x:v>0</x:v>
      </x:c>
      <x:c r="D32" s="38" t="n">
        <x:f>D30-D15-D31</x:f>
        <x:v>0</x:v>
      </x:c>
      <x:c r="E32" s="38" t="n">
        <x:f>E30-E15-E31</x:f>
        <x:v>0</x:v>
      </x:c>
      <x:c r="F32" s="38" t="n">
        <x:f>F30-F15-F31</x:f>
        <x:v>0</x:v>
      </x:c>
      <x:c r="G32" s="12"/>
      <x:c r="H32" s="12"/>
      <x:c r="J32" t="str">
        <x:v>Residual should be zero. Non-zero = missing/unsupported current-asset line.</x:v>
      </x:c>
    </x:row>
    <x:row r="33">
      <x:c r="A33" s="50" t="str">
        <x:v>CONTROL — reconstructed current assets</x:v>
      </x:c>
      <x:c r="B33" s="38" t="n">
        <x:f>SUM(B15,B31,B32)</x:f>
        <x:v>3133332</x:v>
      </x:c>
      <x:c r="C33" s="38" t="n">
        <x:f>SUM(C15,C31,C32)</x:f>
        <x:v>3320685</x:v>
      </x:c>
      <x:c r="D33" s="38" t="n">
        <x:f>SUM(D15,D31,D32)</x:f>
        <x:v>3599989</x:v>
      </x:c>
      <x:c r="E33" s="38" t="n">
        <x:f>SUM(E15,E31,E32)</x:f>
        <x:v>3723687</x:v>
      </x:c>
      <x:c r="F33" s="38" t="n">
        <x:f>SUM(F15,F31,F32)</x:f>
        <x:v>4314777</x:v>
      </x:c>
      <x:c r="G33" s="12"/>
      <x:c r="H33" s="12"/>
    </x:row>
    <x:row r="34">
      <x:c r="A34" s="62" t="str">
        <x:v>CONTROL — current asset residual</x:v>
      </x:c>
      <x:c r="B34" s="63" t="n">
        <x:f>B30-B33</x:f>
        <x:v>0</x:v>
      </x:c>
      <x:c r="C34" s="63" t="n">
        <x:f>C30-C33</x:f>
        <x:v>0</x:v>
      </x:c>
      <x:c r="D34" s="63" t="n">
        <x:f>D30-D33</x:f>
        <x:v>0</x:v>
      </x:c>
      <x:c r="E34" s="63" t="n">
        <x:f>E30-E33</x:f>
        <x:v>0</x:v>
      </x:c>
      <x:c r="F34" s="63" t="n">
        <x:f>F30-F33</x:f>
        <x:v>0</x:v>
      </x:c>
      <x:c r="G34" s="12"/>
      <x:c r="H34" s="12"/>
    </x:row>
    <x:row r="35">
      <x:c r="A35" s="50"/>
      <x:c r="B35" s="12"/>
      <x:c r="C35" s="12"/>
      <x:c r="D35" s="12"/>
      <x:c r="E35" s="12"/>
      <x:c r="F35" s="12"/>
      <x:c r="G35" s="12"/>
      <x:c r="H35" s="12"/>
    </x:row>
    <x:row r="36">
      <x:c r="A36" s="50" t="str">
        <x:v>CONTROL — Total current liabilities (reported)</x:v>
      </x:c>
      <x:c r="B36" s="36" t="n">
        <x:v>707717</x:v>
      </x:c>
      <x:c r="C36" s="36" t="n">
        <x:v>646514</x:v>
      </x:c>
      <x:c r="D36" s="36" t="n">
        <x:v>769473</x:v>
      </x:c>
      <x:c r="E36" s="36" t="n">
        <x:v>629690</x:v>
      </x:c>
      <x:c r="F36" s="36" t="n">
        <x:v>982612</x:v>
      </x:c>
      <x:c r="G36" s="12"/>
      <x:c r="H36" s="12"/>
    </x:row>
    <x:row r="37">
      <x:c r="A37" s="50" t="str">
        <x:v>CONTROL — excluded bank/leases/taxes/derivatives/dividends/post-employment</x:v>
      </x:c>
      <x:c r="B37" s="38" t="n">
        <x:f>SUM(B45:B51)</x:f>
        <x:v>251577</x:v>
      </x:c>
      <x:c r="C37" s="38" t="n">
        <x:f>SUM(C45:C51)</x:f>
        <x:v>244798</x:v>
      </x:c>
      <x:c r="D37" s="38" t="n">
        <x:f>SUM(D45:D51)</x:f>
        <x:v>219585</x:v>
      </x:c>
      <x:c r="E37" s="38" t="n">
        <x:f>SUM(E45:E51)</x:f>
        <x:v>192203</x:v>
      </x:c>
      <x:c r="F37" s="38" t="n">
        <x:f>SUM(F45:F51)</x:f>
        <x:v>436263</x:v>
      </x:c>
      <x:c r="G37" s="12"/>
      <x:c r="H37" s="12"/>
    </x:row>
    <x:row r="38">
      <x:c r="A38" s="50" t="str">
        <x:v>CONTROL — reconstructed current liabilities</x:v>
      </x:c>
      <x:c r="B38" s="38" t="n">
        <x:f>SUM(B25,B37)</x:f>
        <x:v>707717</x:v>
      </x:c>
      <x:c r="C38" s="38" t="n">
        <x:f>SUM(C25,C37)</x:f>
        <x:v>646514</x:v>
      </x:c>
      <x:c r="D38" s="38" t="n">
        <x:f>SUM(D25,D37)</x:f>
        <x:v>769473</x:v>
      </x:c>
      <x:c r="E38" s="38" t="n">
        <x:f>SUM(E25,E37)</x:f>
        <x:v>629690</x:v>
      </x:c>
      <x:c r="F38" s="38" t="n">
        <x:f>SUM(F25,F37)</x:f>
        <x:v>982612</x:v>
      </x:c>
      <x:c r="G38" s="12"/>
      <x:c r="H38" s="12"/>
    </x:row>
    <x:row r="39">
      <x:c r="A39" s="62" t="str">
        <x:v>CONTROL — current liability residual</x:v>
      </x:c>
      <x:c r="B39" s="63" t="n">
        <x:f>B36-B38</x:f>
        <x:v>0</x:v>
      </x:c>
      <x:c r="C39" s="63" t="n">
        <x:f>C36-C38</x:f>
        <x:v>0</x:v>
      </x:c>
      <x:c r="D39" s="63" t="n">
        <x:f>D36-D38</x:f>
        <x:v>0</x:v>
      </x:c>
      <x:c r="E39" s="63" t="n">
        <x:f>E36-E38</x:f>
        <x:v>0</x:v>
      </x:c>
      <x:c r="F39" s="63" t="n">
        <x:f>F36-F38</x:f>
        <x:v>0</x:v>
      </x:c>
      <x:c r="G39" s="12"/>
      <x:c r="H39" s="12"/>
      <x:c r="J39" t="str">
        <x:v>2022–24 residual should be zero after operating 'other current liabilities' included.</x:v>
      </x:c>
    </x:row>
    <x:row r="40">
      <x:c r="A40" s="50"/>
      <x:c r="B40" s="12"/>
      <x:c r="C40" s="12"/>
      <x:c r="D40" s="12"/>
      <x:c r="E40" s="12"/>
      <x:c r="F40" s="12"/>
      <x:c r="G40" s="12"/>
      <x:c r="H40" s="12"/>
    </x:row>
    <x:row r="41">
      <x:c r="A41" s="50"/>
      <x:c r="B41" s="12"/>
      <x:c r="C41" s="12"/>
      <x:c r="D41" s="12"/>
      <x:c r="E41" s="12"/>
      <x:c r="F41" s="12"/>
      <x:c r="G41" s="12"/>
      <x:c r="H41" s="12"/>
    </x:row>
    <x:row r="42">
      <x:c r="A42" s="50" t="str">
        <x:v>Cash</x:v>
      </x:c>
      <x:c r="B42" s="36" t="n">
        <x:v>985626</x:v>
      </x:c>
      <x:c r="C42" s="36" t="n">
        <x:v>1130320</x:v>
      </x:c>
      <x:c r="D42" s="36" t="n">
        <x:v>1113504</x:v>
      </x:c>
      <x:c r="E42" s="36" t="n">
        <x:v>1080091</x:v>
      </x:c>
      <x:c r="F42" s="36" t="n">
        <x:v>1239077</x:v>
      </x:c>
      <x:c r="G42" s="12"/>
      <x:c r="H42" s="12"/>
    </x:row>
    <x:row r="43">
      <x:c r="A43" s="50" t="str">
        <x:v>Time deposits</x:v>
      </x:c>
      <x:c r="B43" s="36" t="n">
        <x:v>0</x:v>
      </x:c>
      <x:c r="C43" s="36" t="n">
        <x:v>32214</x:v>
      </x:c>
      <x:c r="D43" s="36" t="n">
        <x:v>55333</x:v>
      </x:c>
      <x:c r="E43" s="36" t="n">
        <x:v>92607</x:v>
      </x:c>
      <x:c r="F43" s="36" t="n">
        <x:v>118162</x:v>
      </x:c>
      <x:c r="G43" s="12"/>
      <x:c r="H43" s="12"/>
    </x:row>
    <x:row r="44">
      <x:c r="A44" s="50" t="str">
        <x:v>Prepaid income taxes</x:v>
      </x:c>
      <x:c r="B44" s="36" t="n">
        <x:v>41292</x:v>
      </x:c>
      <x:c r="C44" s="36" t="n">
        <x:v>28362</x:v>
      </x:c>
      <x:c r="D44" s="36" t="n">
        <x:v>50727</x:v>
      </x:c>
      <x:c r="E44" s="36" t="n">
        <x:v>73958</x:v>
      </x:c>
      <x:c r="F44" s="36" t="n">
        <x:v>62737</x:v>
      </x:c>
      <x:c r="G44" s="12"/>
      <x:c r="H44" s="12"/>
    </x:row>
    <x:row r="45">
      <x:c r="A45" s="50" t="str">
        <x:v>Current bank loans - short-term</x:v>
      </x:c>
      <x:c r="B45" s="36" t="n">
        <x:v>90703</x:v>
      </x:c>
      <x:c r="C45" s="36" t="n">
        <x:v>70532</x:v>
      </x:c>
      <x:c r="D45" s="36" t="n">
        <x:v>35227</x:v>
      </x:c>
      <x:c r="E45" s="36" t="n">
        <x:v>27341</x:v>
      </x:c>
      <x:c r="F45" s="36" t="n">
        <x:v>34835</x:v>
      </x:c>
      <x:c r="G45" s="12"/>
      <x:c r="H45" s="12"/>
    </x:row>
    <x:row r="46">
      <x:c r="A46" s="50" t="str">
        <x:v>Current bank loans - long term</x:v>
      </x:c>
      <x:c r="B46" s="36" t="n">
        <x:v>15621</x:v>
      </x:c>
      <x:c r="C46" s="36" t="n">
        <x:v>24672</x:v>
      </x:c>
      <x:c r="D46" s="36" t="n">
        <x:v>16120</x:v>
      </x:c>
      <x:c r="E46" s="36" t="n">
        <x:v>17717</x:v>
      </x:c>
      <x:c r="F46" s="36" t="n">
        <x:v>17153</x:v>
      </x:c>
      <x:c r="G46" s="12"/>
      <x:c r="H46" s="12"/>
    </x:row>
    <x:row r="47">
      <x:c r="A47" s="50" t="str">
        <x:v>Current lease liabilities</x:v>
      </x:c>
      <x:c r="B47" s="36" t="n">
        <x:v>24844</x:v>
      </x:c>
      <x:c r="C47" s="36" t="n">
        <x:v>24422</x:v>
      </x:c>
      <x:c r="D47" s="36" t="n">
        <x:v>30527</x:v>
      </x:c>
      <x:c r="E47" s="36" t="n">
        <x:v>39413</x:v>
      </x:c>
      <x:c r="F47" s="36" t="n">
        <x:v>42723</x:v>
      </x:c>
      <x:c r="G47" s="12"/>
      <x:c r="H47" s="12"/>
    </x:row>
    <x:row r="48">
      <x:c r="A48" s="50" t="str">
        <x:v>Taxes payable</x:v>
      </x:c>
      <x:c r="B48" s="36" t="n">
        <x:v>105490</x:v>
      </x:c>
      <x:c r="C48" s="36" t="n">
        <x:v>111236</x:v>
      </x:c>
      <x:c r="D48" s="36" t="n">
        <x:v>119527</x:v>
      </x:c>
      <x:c r="E48" s="36" t="n">
        <x:v>97551</x:v>
      </x:c>
      <x:c r="F48" s="36" t="n">
        <x:v>65112</x:v>
      </x:c>
      <x:c r="G48" s="12"/>
      <x:c r="H48" s="12"/>
    </x:row>
    <x:row r="49">
      <x:c r="A49" s="50" t="str">
        <x:v>Derivative financial liabilities</x:v>
      </x:c>
      <x:c r="B49" s="36" t="n">
        <x:v>12406</x:v>
      </x:c>
      <x:c r="C49" s="36" t="n">
        <x:v>7669</x:v>
      </x:c>
      <x:c r="D49" s="36" t="n">
        <x:v>6745</x:v>
      </x:c>
      <x:c r="E49" s="36" t="n">
        <x:v>2255</x:v>
      </x:c>
      <x:c r="F49" s="36" t="n">
        <x:v>46366</x:v>
      </x:c>
      <x:c r="G49" s="12"/>
      <x:c r="H49" s="12"/>
    </x:row>
    <x:row r="50">
      <x:c r="A50" s="50" t="str">
        <x:v>Dividend payable</x:v>
      </x:c>
      <x:c r="B50" s="36" t="n">
        <x:v>0</x:v>
      </x:c>
      <x:c r="C50" s="36" t="n">
        <x:v>0</x:v>
      </x:c>
      <x:c r="D50" s="36" t="n">
        <x:v>0</x:v>
      </x:c>
      <x:c r="E50" s="36" t="n">
        <x:v>0</x:v>
      </x:c>
      <x:c r="F50" s="36" t="n">
        <x:v>219774</x:v>
      </x:c>
      <x:c r="G50" s="12"/>
      <x:c r="H50" s="12"/>
    </x:row>
    <x:row r="51">
      <x:c r="A51" s="50" t="str">
        <x:v>Current long-term post-employment benefits</x:v>
      </x:c>
      <x:c r="B51" s="36" t="n">
        <x:v>2513</x:v>
      </x:c>
      <x:c r="C51" s="36" t="n">
        <x:v>6267</x:v>
      </x:c>
      <x:c r="D51" s="36" t="n">
        <x:v>11439</x:v>
      </x:c>
      <x:c r="E51" s="36" t="n">
        <x:v>7926</x:v>
      </x:c>
      <x:c r="F51" s="36" t="n">
        <x:v>10300</x:v>
      </x:c>
      <x:c r="G51" s="12"/>
      <x:c r="H51" s="12"/>
    </x:row>
    <x:row r="52">
      <x:c r="A52" s="50"/>
      <x:c r="B52" s="12"/>
      <x:c r="C52" s="12"/>
      <x:c r="D52" s="12"/>
      <x:c r="E52" s="12"/>
      <x:c r="F52" s="12"/>
      <x:c r="G52" s="12"/>
      <x:c r="H52" s="12"/>
    </x:row>
    <x:row r="53" ht="32" customHeight="1">
      <x:c r="A53" s="56" t="str">
        <x:v>* FY2022 RS column = '1 January 2023' opening balance restated under PSAK 338 per FY2024 audited statement; not calendar year-end originally reported values.</x:v>
      </x:c>
      <x:c r="B53" s="20"/>
      <x:c r="C53" s="20"/>
      <x:c r="D53" s="20"/>
      <x:c r="E53" s="20"/>
      <x:c r="F53" s="20"/>
      <x:c r="G53" s="20"/>
      <x:c r="H53" s="20"/>
      <x:c r="I53" s="21"/>
      <x:c r="J53" s="21"/>
    </x:row>
    <x:row r="54">
      <x:c r="A54" s="50"/>
      <x:c r="B54" s="12"/>
      <x:c r="C54" s="12"/>
      <x:c r="D54" s="12"/>
      <x:c r="E54" s="12"/>
      <x:c r="F54" s="12"/>
      <x:c r="G54" s="12"/>
      <x:c r="H54" s="12"/>
    </x:row>
    <x:row r="55">
      <x:c r="A55" s="50"/>
      <x:c r="B55" s="12"/>
      <x:c r="C55" s="12"/>
      <x:c r="D55" s="12"/>
      <x:c r="E55" s="12"/>
      <x:c r="F55" s="12"/>
      <x:c r="G55" s="12"/>
      <x:c r="H55" s="12"/>
    </x:row>
    <x:row r="56">
      <x:c r="A56" s="50"/>
      <x:c r="B56" s="12"/>
      <x:c r="C56" s="12"/>
      <x:c r="D56" s="12"/>
      <x:c r="E56" s="12"/>
      <x:c r="F56" s="12"/>
      <x:c r="G56" s="12"/>
      <x:c r="H56" s="12"/>
    </x:row>
    <x:row r="57">
      <x:c r="A57" s="50"/>
      <x:c r="B57" s="12"/>
      <x:c r="C57" s="12"/>
      <x:c r="D57" s="12"/>
      <x:c r="E57" s="12"/>
      <x:c r="F57" s="12"/>
      <x:c r="G57" s="12"/>
      <x:c r="H57" s="12"/>
    </x:row>
    <x:row r="58">
      <x:c r="A58" s="50"/>
      <x:c r="B58" s="12"/>
      <x:c r="C58" s="12"/>
      <x:c r="D58" s="12"/>
      <x:c r="E58" s="12"/>
      <x:c r="F58" s="12"/>
      <x:c r="G58" s="12"/>
      <x:c r="H58" s="12"/>
    </x:row>
    <x:row r="59">
      <x:c r="A59" s="50"/>
      <x:c r="B59" s="12"/>
      <x:c r="C59" s="12"/>
      <x:c r="D59" s="12"/>
      <x:c r="E59" s="12"/>
      <x:c r="F59" s="12"/>
      <x:c r="G59" s="12"/>
      <x:c r="H59" s="12"/>
    </x:row>
    <x:row r="60">
      <x:c r="A60" s="50"/>
      <x:c r="B60" s="12"/>
      <x:c r="C60" s="12"/>
      <x:c r="D60" s="12"/>
      <x:c r="E60" s="12"/>
      <x:c r="F60" s="12"/>
      <x:c r="G60" s="12"/>
      <x:c r="H60" s="12"/>
    </x:row>
    <x:row r="61">
      <x:c r="B61" s="12"/>
      <x:c r="C61" s="12"/>
      <x:c r="D61" s="12"/>
      <x:c r="E61" s="12"/>
      <x:c r="F61" s="12"/>
      <x:c r="G61" s="12"/>
      <x:c r="H61" s="12"/>
    </x:row>
    <x:row r="62">
      <x:c r="B62" s="12"/>
      <x:c r="C62" s="12"/>
      <x:c r="D62" s="12"/>
      <x:c r="E62" s="12"/>
      <x:c r="F62" s="12"/>
      <x:c r="G62" s="12"/>
      <x:c r="H62" s="12"/>
    </x:row>
    <x:row r="63">
      <x:c r="B63" s="12"/>
      <x:c r="C63" s="12"/>
      <x:c r="D63" s="12"/>
      <x:c r="E63" s="12"/>
      <x:c r="F63" s="12"/>
      <x:c r="G63" s="12"/>
      <x:c r="H63" s="12"/>
    </x:row>
    <x:row r="64">
      <x:c r="B64" s="12"/>
      <x:c r="C64" s="12"/>
      <x:c r="D64" s="12"/>
      <x:c r="E64" s="12"/>
      <x:c r="F64" s="12"/>
      <x:c r="G64" s="12"/>
      <x:c r="H64" s="12"/>
    </x:row>
    <x:row r="65">
      <x:c r="B65" s="12"/>
      <x:c r="C65" s="12"/>
      <x:c r="D65" s="12"/>
      <x:c r="E65" s="12"/>
      <x:c r="F65" s="12"/>
      <x:c r="G65" s="12"/>
      <x:c r="H65" s="12"/>
    </x:row>
    <x:row r="66">
      <x:c r="B66" s="12"/>
      <x:c r="C66" s="12"/>
      <x:c r="D66" s="12"/>
      <x:c r="E66" s="12"/>
      <x:c r="F66" s="12"/>
      <x:c r="G66" s="12"/>
      <x:c r="H66" s="12"/>
    </x:row>
    <x:row r="67">
      <x:c r="B67" s="12"/>
      <x:c r="C67" s="12"/>
      <x:c r="D67" s="12"/>
      <x:c r="E67" s="12"/>
      <x:c r="F67" s="12"/>
      <x:c r="G67" s="12"/>
      <x:c r="H67" s="12"/>
    </x:row>
    <x:row r="68">
      <x:c r="B68" s="12"/>
      <x:c r="C68" s="12"/>
      <x:c r="D68" s="12"/>
      <x:c r="E68" s="12"/>
      <x:c r="F68" s="12"/>
      <x:c r="G68" s="12"/>
      <x:c r="H68" s="12"/>
    </x:row>
    <x:row r="69">
      <x:c r="B69" s="12"/>
      <x:c r="C69" s="12"/>
      <x:c r="D69" s="12"/>
      <x:c r="E69" s="12"/>
      <x:c r="F69" s="12"/>
      <x:c r="G69" s="12"/>
      <x:c r="H69" s="12"/>
    </x:row>
    <x:row r="70">
      <x:c r="B70" s="12"/>
      <x:c r="C70" s="12"/>
      <x:c r="D70" s="12"/>
      <x:c r="E70" s="12"/>
      <x:c r="F70" s="12"/>
      <x:c r="G70" s="12"/>
      <x:c r="H70" s="12"/>
    </x:row>
    <x:row r="71">
      <x:c r="B71" s="12"/>
      <x:c r="C71" s="12"/>
      <x:c r="D71" s="12"/>
      <x:c r="E71" s="12"/>
      <x:c r="F71" s="12"/>
      <x:c r="G71" s="12"/>
      <x:c r="H71" s="12"/>
    </x:row>
    <x:row r="72">
      <x:c r="B72" s="12"/>
      <x:c r="C72" s="12"/>
      <x:c r="D72" s="12"/>
      <x:c r="E72" s="12"/>
      <x:c r="F72" s="12"/>
      <x:c r="G72" s="12"/>
      <x:c r="H72" s="12"/>
    </x:row>
    <x:row r="73">
      <x:c r="B73" s="12"/>
      <x:c r="C73" s="12"/>
      <x:c r="D73" s="12"/>
      <x:c r="E73" s="12"/>
      <x:c r="F73" s="12"/>
      <x:c r="G73" s="12"/>
      <x:c r="H73" s="12"/>
    </x:row>
    <x:row r="74">
      <x:c r="B74" s="12"/>
      <x:c r="C74" s="12"/>
      <x:c r="D74" s="12"/>
      <x:c r="E74" s="12"/>
      <x:c r="F74" s="12"/>
      <x:c r="G74" s="12"/>
      <x:c r="H74" s="12"/>
    </x:row>
    <x:row r="75">
      <x:c r="B75" s="12"/>
      <x:c r="C75" s="12"/>
      <x:c r="D75" s="12"/>
      <x:c r="E75" s="12"/>
      <x:c r="F75" s="12"/>
      <x:c r="G75" s="12"/>
      <x:c r="H75" s="12"/>
    </x:row>
    <x:row r="76">
      <x:c r="B76" s="12"/>
      <x:c r="C76" s="12"/>
      <x:c r="D76" s="12"/>
      <x:c r="E76" s="12"/>
      <x:c r="F76" s="12"/>
      <x:c r="G76" s="12"/>
      <x:c r="H76" s="12"/>
    </x:row>
    <x:row r="77">
      <x:c r="B77" s="12"/>
      <x:c r="C77" s="12"/>
      <x:c r="D77" s="12"/>
      <x:c r="E77" s="12"/>
      <x:c r="F77" s="12"/>
      <x:c r="G77" s="12"/>
      <x:c r="H77" s="12"/>
    </x:row>
    <x:row r="78">
      <x:c r="B78" s="12"/>
      <x:c r="C78" s="12"/>
      <x:c r="D78" s="12"/>
      <x:c r="E78" s="12"/>
      <x:c r="F78" s="12"/>
      <x:c r="G78" s="12"/>
      <x:c r="H78" s="12"/>
    </x:row>
    <x:row r="79">
      <x:c r="B79" s="12"/>
      <x:c r="C79" s="12"/>
      <x:c r="D79" s="12"/>
      <x:c r="E79" s="12"/>
      <x:c r="F79" s="12"/>
      <x:c r="G79" s="12"/>
      <x:c r="H79" s="12"/>
    </x:row>
    <x:row r="80">
      <x:c r="B80" s="12"/>
      <x:c r="C80" s="12"/>
      <x:c r="D80" s="12"/>
      <x:c r="E80" s="12"/>
      <x:c r="F80" s="12"/>
      <x:c r="G80" s="12"/>
      <x:c r="H80" s="12"/>
    </x:row>
    <x:row r="81">
      <x:c r="B81" s="12"/>
      <x:c r="C81" s="12"/>
      <x:c r="D81" s="12"/>
      <x:c r="E81" s="12"/>
      <x:c r="F81" s="12"/>
      <x:c r="G81" s="12"/>
      <x:c r="H81" s="12"/>
    </x:row>
    <x:row r="82">
      <x:c r="B82" s="12"/>
      <x:c r="C82" s="12"/>
      <x:c r="D82" s="12"/>
      <x:c r="E82" s="12"/>
      <x:c r="F82" s="12"/>
      <x:c r="G82" s="12"/>
      <x:c r="H82" s="12"/>
    </x:row>
    <x:row r="83">
      <x:c r="B83" s="12"/>
      <x:c r="C83" s="12"/>
      <x:c r="D83" s="12"/>
      <x:c r="E83" s="12"/>
      <x:c r="F83" s="12"/>
      <x:c r="G83" s="12"/>
      <x:c r="H83" s="12"/>
    </x:row>
    <x:row r="84">
      <x:c r="B84" s="12"/>
      <x:c r="C84" s="12"/>
      <x:c r="D84" s="12"/>
      <x:c r="E84" s="12"/>
      <x:c r="F84" s="12"/>
      <x:c r="G84" s="12"/>
      <x:c r="H84" s="12"/>
    </x:row>
    <x:row r="85">
      <x:c r="B85" s="12"/>
      <x:c r="C85" s="12"/>
      <x:c r="D85" s="12"/>
      <x:c r="E85" s="12"/>
      <x:c r="F85" s="12"/>
      <x:c r="G85" s="12"/>
      <x:c r="H85" s="12"/>
    </x:row>
    <x:row r="86">
      <x:c r="B86" s="12"/>
      <x:c r="C86" s="12"/>
      <x:c r="D86" s="12"/>
      <x:c r="E86" s="12"/>
      <x:c r="F86" s="12"/>
      <x:c r="G86" s="12"/>
      <x:c r="H86" s="12"/>
    </x:row>
    <x:row r="87">
      <x:c r="B87" s="12"/>
      <x:c r="C87" s="12"/>
      <x:c r="D87" s="12"/>
      <x:c r="E87" s="12"/>
      <x:c r="F87" s="12"/>
      <x:c r="G87" s="12"/>
      <x:c r="H87" s="12"/>
    </x:row>
    <x:row r="88">
      <x:c r="B88" s="12"/>
      <x:c r="C88" s="12"/>
      <x:c r="D88" s="12"/>
      <x:c r="E88" s="12"/>
      <x:c r="F88" s="12"/>
      <x:c r="G88" s="12"/>
      <x:c r="H88" s="12"/>
    </x:row>
    <x:row r="89">
      <x:c r="B89" s="12"/>
      <x:c r="C89" s="12"/>
      <x:c r="D89" s="12"/>
      <x:c r="E89" s="12"/>
      <x:c r="F89" s="12"/>
      <x:c r="G89" s="12"/>
      <x:c r="H89" s="12"/>
    </x:row>
    <x:row r="90">
      <x:c r="B90" s="12"/>
      <x:c r="C90" s="12"/>
      <x:c r="D90" s="12"/>
      <x:c r="E90" s="12"/>
      <x:c r="F90" s="12"/>
      <x:c r="G90" s="12"/>
      <x:c r="H90" s="12"/>
    </x:row>
    <x:row r="91">
      <x:c r="B91" s="12"/>
      <x:c r="C91" s="12"/>
      <x:c r="D91" s="12"/>
      <x:c r="E91" s="12"/>
      <x:c r="F91" s="12"/>
      <x:c r="G91" s="12"/>
      <x:c r="H91" s="12"/>
    </x:row>
    <x:row r="92">
      <x:c r="B92" s="12"/>
      <x:c r="C92" s="12"/>
      <x:c r="D92" s="12"/>
      <x:c r="E92" s="12"/>
      <x:c r="F92" s="12"/>
      <x:c r="G92" s="12"/>
      <x:c r="H92" s="12"/>
    </x:row>
    <x:row r="93">
      <x:c r="B93" s="12"/>
      <x:c r="C93" s="12"/>
      <x:c r="D93" s="12"/>
      <x:c r="E93" s="12"/>
      <x:c r="F93" s="12"/>
      <x:c r="G93" s="12"/>
      <x:c r="H93" s="12"/>
    </x:row>
    <x:row r="94">
      <x:c r="B94" s="12"/>
      <x:c r="C94" s="12"/>
      <x:c r="D94" s="12"/>
      <x:c r="E94" s="12"/>
      <x:c r="F94" s="12"/>
      <x:c r="G94" s="12"/>
      <x:c r="H94" s="12"/>
    </x:row>
    <x:row r="95">
      <x:c r="B95" s="12"/>
      <x:c r="C95" s="12"/>
      <x:c r="D95" s="12"/>
      <x:c r="E95" s="12"/>
      <x:c r="F95" s="12"/>
      <x:c r="G95" s="12"/>
      <x:c r="H95" s="12"/>
    </x:row>
    <x:row r="96">
      <x:c r="B96" s="12"/>
      <x:c r="C96" s="12"/>
      <x:c r="D96" s="12"/>
      <x:c r="E96" s="12"/>
      <x:c r="F96" s="12"/>
      <x:c r="G96" s="12"/>
      <x:c r="H96" s="12"/>
    </x:row>
    <x:row r="97">
      <x:c r="B97" s="12"/>
      <x:c r="C97" s="12"/>
      <x:c r="D97" s="12"/>
      <x:c r="E97" s="12"/>
      <x:c r="F97" s="12"/>
      <x:c r="G97" s="12"/>
      <x:c r="H97" s="12"/>
    </x:row>
    <x:row r="98">
      <x:c r="B98" s="12"/>
      <x:c r="C98" s="12"/>
      <x:c r="D98" s="12"/>
      <x:c r="E98" s="12"/>
      <x:c r="F98" s="12"/>
      <x:c r="G98" s="12"/>
      <x:c r="H98" s="12"/>
    </x:row>
    <x:row r="99">
      <x:c r="B99" s="12"/>
      <x:c r="C99" s="12"/>
      <x:c r="D99" s="12"/>
      <x:c r="E99" s="12"/>
      <x:c r="F99" s="12"/>
      <x:c r="G99" s="12"/>
      <x:c r="H99" s="12"/>
    </x:row>
    <x:row r="100">
      <x:c r="B100" s="12"/>
      <x:c r="C100" s="12"/>
      <x:c r="D100" s="12"/>
      <x:c r="E100" s="12"/>
      <x:c r="F100" s="12"/>
      <x:c r="G100" s="12"/>
      <x:c r="H100" s="12"/>
    </x:row>
    <x:row r="101">
      <x:c r="B101" s="12"/>
      <x:c r="C101" s="12"/>
      <x:c r="D101" s="12"/>
      <x:c r="E101" s="12"/>
      <x:c r="F101" s="12"/>
      <x:c r="G101" s="12"/>
      <x:c r="H101" s="12"/>
    </x:row>
    <x:row r="102">
      <x:c r="B102" s="12"/>
      <x:c r="C102" s="12"/>
      <x:c r="D102" s="12"/>
      <x:c r="E102" s="12"/>
      <x:c r="F102" s="12"/>
      <x:c r="G102" s="12"/>
      <x:c r="H102" s="12"/>
    </x:row>
    <x:row r="103">
      <x:c r="B103" s="12"/>
      <x:c r="C103" s="12"/>
      <x:c r="D103" s="12"/>
      <x:c r="E103" s="12"/>
      <x:c r="F103" s="12"/>
      <x:c r="G103" s="12"/>
      <x:c r="H103" s="12"/>
    </x:row>
    <x:row r="104">
      <x:c r="B104" s="12"/>
      <x:c r="C104" s="12"/>
      <x:c r="D104" s="12"/>
      <x:c r="E104" s="12"/>
      <x:c r="F104" s="12"/>
      <x:c r="G104" s="12"/>
      <x:c r="H104" s="12"/>
    </x:row>
    <x:row r="105">
      <x:c r="B105" s="12"/>
      <x:c r="C105" s="12"/>
      <x:c r="D105" s="12"/>
      <x:c r="E105" s="12"/>
      <x:c r="F105" s="12"/>
      <x:c r="G105" s="12"/>
      <x:c r="H105" s="12"/>
    </x:row>
    <x:row r="106">
      <x:c r="B106" s="12"/>
      <x:c r="C106" s="12"/>
      <x:c r="D106" s="12"/>
      <x:c r="E106" s="12"/>
      <x:c r="F106" s="12"/>
      <x:c r="G106" s="12"/>
      <x:c r="H106" s="12"/>
    </x:row>
    <x:row r="107">
      <x:c r="B107" s="12"/>
      <x:c r="C107" s="12"/>
      <x:c r="D107" s="12"/>
      <x:c r="E107" s="12"/>
      <x:c r="F107" s="12"/>
      <x:c r="G107" s="12"/>
      <x:c r="H107" s="12"/>
    </x:row>
    <x:row r="108">
      <x:c r="B108" s="12"/>
      <x:c r="C108" s="12"/>
      <x:c r="D108" s="12"/>
      <x:c r="E108" s="12"/>
      <x:c r="F108" s="12"/>
      <x:c r="G108" s="12"/>
      <x:c r="H108" s="12"/>
    </x:row>
    <x:row r="109">
      <x:c r="B109" s="12"/>
      <x:c r="C109" s="12"/>
      <x:c r="D109" s="12"/>
      <x:c r="E109" s="12"/>
      <x:c r="F109" s="12"/>
      <x:c r="G109" s="12"/>
      <x:c r="H109" s="12"/>
    </x:row>
    <x:row r="110">
      <x:c r="B110" s="12"/>
      <x:c r="C110" s="12"/>
      <x:c r="D110" s="12"/>
      <x:c r="E110" s="12"/>
      <x:c r="F110" s="12"/>
      <x:c r="G110" s="12"/>
      <x:c r="H110" s="12"/>
    </x:row>
    <x:row r="111">
      <x:c r="B111" s="12"/>
      <x:c r="C111" s="12"/>
      <x:c r="D111" s="12"/>
      <x:c r="E111" s="12"/>
      <x:c r="F111" s="12"/>
      <x:c r="G111" s="12"/>
      <x:c r="H111" s="12"/>
    </x:row>
    <x:row r="112">
      <x:c r="B112" s="12"/>
      <x:c r="C112" s="12"/>
      <x:c r="D112" s="12"/>
      <x:c r="E112" s="12"/>
      <x:c r="F112" s="12"/>
      <x:c r="G112" s="12"/>
      <x:c r="H112" s="12"/>
    </x:row>
    <x:row r="113">
      <x:c r="B113" s="12"/>
      <x:c r="C113" s="12"/>
      <x:c r="D113" s="12"/>
      <x:c r="E113" s="12"/>
      <x:c r="F113" s="12"/>
      <x:c r="G113" s="12"/>
      <x:c r="H113" s="12"/>
    </x:row>
    <x:row r="114">
      <x:c r="B114" s="12"/>
      <x:c r="C114" s="12"/>
      <x:c r="D114" s="12"/>
      <x:c r="E114" s="12"/>
      <x:c r="F114" s="12"/>
      <x:c r="G114" s="12"/>
      <x:c r="H114" s="12"/>
    </x:row>
    <x:row r="115">
      <x:c r="B115" s="12"/>
      <x:c r="C115" s="12"/>
      <x:c r="D115" s="12"/>
      <x:c r="E115" s="12"/>
      <x:c r="F115" s="12"/>
      <x:c r="G115" s="12"/>
      <x:c r="H115" s="12"/>
    </x:row>
    <x:row r="116">
      <x:c r="B116" s="12"/>
      <x:c r="C116" s="12"/>
      <x:c r="D116" s="12"/>
      <x:c r="E116" s="12"/>
      <x:c r="F116" s="12"/>
      <x:c r="G116" s="12"/>
      <x:c r="H116" s="12"/>
    </x:row>
    <x:row r="117">
      <x:c r="B117" s="12"/>
      <x:c r="C117" s="12"/>
      <x:c r="D117" s="12"/>
      <x:c r="E117" s="12"/>
      <x:c r="F117" s="12"/>
      <x:c r="G117" s="12"/>
      <x:c r="H117" s="12"/>
    </x:row>
    <x:row r="118">
      <x:c r="B118" s="12"/>
      <x:c r="C118" s="12"/>
      <x:c r="D118" s="12"/>
      <x:c r="E118" s="12"/>
      <x:c r="F118" s="12"/>
      <x:c r="G118" s="12"/>
      <x:c r="H118" s="12"/>
    </x:row>
    <x:row r="119">
      <x:c r="B119" s="12"/>
      <x:c r="C119" s="12"/>
      <x:c r="D119" s="12"/>
      <x:c r="E119" s="12"/>
      <x:c r="F119" s="12"/>
      <x:c r="G119" s="12"/>
      <x:c r="H119" s="12"/>
    </x:row>
    <x:row r="120">
      <x:c r="B120" s="12"/>
      <x:c r="C120" s="12"/>
      <x:c r="D120" s="12"/>
      <x:c r="E120" s="12"/>
      <x:c r="F120" s="12"/>
      <x:c r="G120" s="12"/>
      <x:c r="H120" s="12"/>
    </x:row>
    <x:row r="121">
      <x:c r="B121" s="12"/>
      <x:c r="C121" s="12"/>
      <x:c r="D121" s="12"/>
      <x:c r="E121" s="12"/>
      <x:c r="F121" s="12"/>
      <x:c r="G121" s="12"/>
      <x:c r="H121" s="12"/>
    </x:row>
    <x:row r="122">
      <x:c r="B122" s="12"/>
      <x:c r="C122" s="12"/>
      <x:c r="D122" s="12"/>
      <x:c r="E122" s="12"/>
      <x:c r="F122" s="12"/>
      <x:c r="G122" s="12"/>
      <x:c r="H122" s="12"/>
    </x:row>
    <x:row r="123">
      <x:c r="B123" s="12"/>
      <x:c r="C123" s="12"/>
      <x:c r="D123" s="12"/>
      <x:c r="E123" s="12"/>
      <x:c r="F123" s="12"/>
      <x:c r="G123" s="12"/>
      <x:c r="H123" s="12"/>
    </x:row>
    <x:row r="124">
      <x:c r="B124" s="12"/>
      <x:c r="C124" s="12"/>
      <x:c r="D124" s="12"/>
      <x:c r="E124" s="12"/>
      <x:c r="F124" s="12"/>
      <x:c r="G124" s="12"/>
      <x:c r="H124" s="12"/>
    </x:row>
    <x:row r="125">
      <x:c r="B125" s="12"/>
      <x:c r="C125" s="12"/>
      <x:c r="D125" s="12"/>
      <x:c r="E125" s="12"/>
      <x:c r="F125" s="12"/>
      <x:c r="G125" s="12"/>
      <x:c r="H125" s="12"/>
    </x:row>
  </x:sheetData>
  <x:mergeCells>
    <x:mergeCell ref="A1:J2"/>
    <x:mergeCell ref="A3:J3"/>
    <x:mergeCell ref="A16:J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51" hidden="0" customWidth="1"/>
    <x:col min="10" max="10" width="70" hidden="0" customWidth="1"/>
  </x:cols>
  <x:sheetData>
    <x:row r="1" ht="23" customHeight="1">
      <x:c r="A1" s="74" t="str">
        <x:v>SMSM | CapEx &amp; Reinvestment Reconciliation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23" customHeight="1">
      <x:c r="A2" s="74"/>
      <x:c r="B2" s="74"/>
      <x:c r="C2" s="74"/>
      <x:c r="D2" s="74"/>
      <x:c r="E2" s="74"/>
      <x:c r="F2" s="74"/>
      <x:c r="G2" s="74"/>
      <x:c r="H2" s="74"/>
      <x:c r="I2" s="74"/>
      <x:c r="J2" s="74"/>
    </x:row>
    <x:row r="3" ht="25" customHeight="1">
      <x:c r="A3" s="75" t="str">
        <x:v>Rp million • Reconciles gross fixed-asset additions to cash spend and capital-advance movement</x:v>
      </x:c>
      <x:c r="B3" s="75"/>
      <x:c r="C3" s="75"/>
      <x:c r="D3" s="75"/>
      <x:c r="E3" s="75"/>
      <x:c r="F3" s="75"/>
      <x:c r="G3" s="75"/>
      <x:c r="H3" s="75"/>
      <x:c r="I3" s="75"/>
      <x:c r="J3" s="75"/>
    </x:row>
    <x:row r="5">
      <x:c r="B5" s="12"/>
      <x:c r="C5" s="12"/>
      <x:c r="D5" s="12"/>
      <x:c r="E5" s="12"/>
      <x:c r="F5" s="12"/>
      <x:c r="G5" s="12"/>
      <x:c r="H5" s="12"/>
    </x:row>
    <x:row r="6" ht="25" customHeight="1">
      <x:c r="A6" s="28" t="str">
        <x:v>Metric</x:v>
      </x:c>
      <x:c r="B6" s="58" t="str">
        <x:v>FY2024</x:v>
      </x:c>
      <x:c r="C6" s="58" t="str">
        <x:v>FY2025</x:v>
      </x:c>
      <x:c r="D6" s="58" t="str">
        <x:v>H1 2026</x:v>
      </x:c>
      <x:c r="E6" s="58" t="str">
        <x:v>Type</x:v>
      </x:c>
      <x:c r="F6" s="58" t="str">
        <x:v>Relevant note/page</x:v>
      </x:c>
      <x:c r="G6" s="58" t="str">
        <x:v>Treatment</x:v>
      </x:c>
      <x:c r="H6" s="58" t="str">
        <x:v>Formula / rationale</x:v>
      </x:c>
      <x:c r="I6" s="28" t="str">
        <x:v>Source URL</x:v>
      </x:c>
      <x:c r="J6" s="28" t="str">
        <x:v>Validation</x:v>
      </x:c>
    </x:row>
    <x:row r="7">
      <x:c r="A7" s="50" t="str">
        <x:v>Gross fixed-asset additions (PPE schedule)</x:v>
      </x:c>
      <x:c r="B7" s="36" t="n">
        <x:v>191439</x:v>
      </x:c>
      <x:c r="C7" s="36" t="n">
        <x:v>241778</x:v>
      </x:c>
      <x:c r="D7" s="36" t="n">
        <x:v>110297</x:v>
      </x:c>
      <x:c r="E7" s="12" t="str">
        <x:v>R</x:v>
      </x:c>
      <x:c r="F7" s="12"/>
      <x:c r="G7" s="12"/>
      <x:c r="H7" s="12"/>
      <x:c r="I7" t="str">
        <x:v>https://smsm.co.id/uploads/attachment/Annual%20Report%20SMSM%202025.pdf</x:v>
      </x:c>
      <x:c r="J7" t="str">
        <x:v>FY2024 Note 9 additions 191,439; FY2025 Note 9 241,778; H1 2026 Note 8 110,297.</x:v>
      </x:c>
    </x:row>
    <x:row r="8">
      <x:c r="A8" s="50" t="str">
        <x:v>Cash purchases of fixed assets</x:v>
      </x:c>
      <x:c r="B8" s="36" t="n">
        <x:v>126002</x:v>
      </x:c>
      <x:c r="C8" s="36" t="n">
        <x:v>136026</x:v>
      </x:c>
      <x:c r="D8" s="36" t="n">
        <x:v>60192</x:v>
      </x:c>
      <x:c r="E8" s="12" t="str">
        <x:v>R</x:v>
      </x:c>
      <x:c r="F8" s="12"/>
      <x:c r="G8" s="12"/>
      <x:c r="H8" s="12"/>
      <x:c r="I8" t="str">
        <x:v>https://smsm.co.id/uploads/attachment/Annual%20Report%20SMSM%202025.pdf</x:v>
      </x:c>
    </x:row>
    <x:row r="9">
      <x:c r="A9" s="50" t="str">
        <x:v>Cash advances paid for fixed assets</x:v>
      </x:c>
      <x:c r="B9" s="36" t="n">
        <x:v>84219</x:v>
      </x:c>
      <x:c r="C9" s="36" t="n">
        <x:v>69015</x:v>
      </x:c>
      <x:c r="D9" s="36" t="n">
        <x:v>36996</x:v>
      </x:c>
      <x:c r="E9" s="12" t="str">
        <x:v>R</x:v>
      </x:c>
      <x:c r="F9" s="12"/>
      <x:c r="G9" s="12"/>
      <x:c r="H9" s="12"/>
      <x:c r="I9" t="str">
        <x:v>https://smsm.co.id/uploads/attachment/Annual%20Report%20SMSM%202025.pdf</x:v>
      </x:c>
    </x:row>
    <x:row r="10">
      <x:c r="A10" s="50" t="str">
        <x:v>Opening non-current capital advances</x:v>
      </x:c>
      <x:c r="B10" s="36" t="n">
        <x:v>82577</x:v>
      </x:c>
      <x:c r="C10" s="36" t="n">
        <x:v>101900</x:v>
      </x:c>
      <x:c r="D10" s="36" t="n">
        <x:v>65164</x:v>
      </x:c>
      <x:c r="E10" s="12" t="str">
        <x:v>R</x:v>
      </x:c>
      <x:c r="F10" s="12"/>
      <x:c r="G10" s="12"/>
      <x:c r="H10" s="12"/>
      <x:c r="I10" t="str">
        <x:v>https://smsm.co.id/uploads/attachment/Annual%20Report%20SMSM%202025.pdf</x:v>
      </x:c>
    </x:row>
    <x:row r="11">
      <x:c r="A11" s="50" t="str">
        <x:v>Closing non-current capital advances</x:v>
      </x:c>
      <x:c r="B11" s="36" t="n">
        <x:v>101900</x:v>
      </x:c>
      <x:c r="C11" s="36" t="n">
        <x:v>65164</x:v>
      </x:c>
      <x:c r="D11" s="36" t="n">
        <x:v>52054</x:v>
      </x:c>
      <x:c r="E11" s="12" t="str">
        <x:v>R</x:v>
      </x:c>
      <x:c r="F11" s="12"/>
      <x:c r="G11" s="12"/>
      <x:c r="H11" s="12"/>
      <x:c r="I11" t="str">
        <x:v>https://smsm.co.id/uploads/attachment/Annual%20Report%20SMSM%202025.pdf</x:v>
      </x:c>
    </x:row>
    <x:row r="12">
      <x:c r="A12" s="50" t="str">
        <x:v>Fixed-asset depreciation</x:v>
      </x:c>
      <x:c r="B12" s="36" t="n">
        <x:v>135806</x:v>
      </x:c>
      <x:c r="C12" s="36" t="n">
        <x:v>152464</x:v>
      </x:c>
      <x:c r="D12" s="36" t="n">
        <x:v>81071</x:v>
      </x:c>
      <x:c r="E12" s="12" t="str">
        <x:v>R</x:v>
      </x:c>
      <x:c r="F12" s="12"/>
      <x:c r="G12" s="12"/>
      <x:c r="H12" s="12"/>
      <x:c r="I12" t="str">
        <x:v>https://smsm.co.id/uploads/attachment/Annual%20Report%20SMSM%202025.pdf</x:v>
      </x:c>
    </x:row>
    <x:row r="13">
      <x:c r="A13" s="50" t="str">
        <x:v>Right-of-use depreciation</x:v>
      </x:c>
      <x:c r="B13" s="36" t="n">
        <x:v>30092</x:v>
      </x:c>
      <x:c r="C13" s="36" t="n">
        <x:v>29798</x:v>
      </x:c>
      <x:c r="D13" s="36" t="n">
        <x:v>16895</x:v>
      </x:c>
      <x:c r="E13" s="12" t="str">
        <x:v>R</x:v>
      </x:c>
      <x:c r="F13" s="12"/>
      <x:c r="G13" s="12"/>
      <x:c r="H13" s="12"/>
      <x:c r="I13" t="str">
        <x:v>https://smsm.co.id/uploads/attachment/Annual%20Report%20SMSM%202025.pdf</x:v>
      </x:c>
    </x:row>
    <x:row r="14">
      <x:c r="A14" s="50" t="str">
        <x:v>Intangible amortization</x:v>
      </x:c>
      <x:c r="B14" s="36" t="n">
        <x:v>7036</x:v>
      </x:c>
      <x:c r="C14" s="36" t="n">
        <x:v>2032</x:v>
      </x:c>
      <x:c r="D14" s="36" t="n">
        <x:v>950</x:v>
      </x:c>
      <x:c r="E14" s="12" t="str">
        <x:v>R</x:v>
      </x:c>
      <x:c r="F14" s="12"/>
      <x:c r="G14" s="12"/>
      <x:c r="H14" s="12"/>
      <x:c r="I14" t="str">
        <x:v>https://smsm.co.id/uploads/attachment/Annual%20Report%20SMSM%202025.pdf</x:v>
      </x:c>
    </x:row>
    <x:row r="15">
      <x:c r="A15" s="50" t="str">
        <x:v>Right-of-use asset additions</x:v>
      </x:c>
      <x:c r="B15" s="12"/>
      <x:c r="C15" s="36" t="n">
        <x:v>9897</x:v>
      </x:c>
      <x:c r="D15" s="36" t="n">
        <x:v>12015</x:v>
      </x:c>
      <x:c r="E15" s="12" t="str">
        <x:v>R</x:v>
      </x:c>
      <x:c r="F15" s="12"/>
      <x:c r="G15" s="12"/>
      <x:c r="H15" s="12"/>
      <x:c r="I15" t="str">
        <x:v>https://smsm.co.id/uploads/attachment/Annual%20Report%20SMSM%202025.pdf</x:v>
      </x:c>
    </x:row>
    <x:row r="16">
      <x:c r="A16" s="50" t="str">
        <x:v>Cash sale proceeds of fixed assets</x:v>
      </x:c>
      <x:c r="B16" s="12"/>
      <x:c r="C16" s="36" t="n">
        <x:v>10019</x:v>
      </x:c>
      <x:c r="D16" s="36" t="n">
        <x:v>2865</x:v>
      </x:c>
      <x:c r="E16" s="12" t="str">
        <x:v>R</x:v>
      </x:c>
      <x:c r="F16" s="12"/>
      <x:c r="G16" s="12"/>
      <x:c r="H16" s="12"/>
      <x:c r="I16" t="str">
        <x:v>https://smsm.co.id/uploads/attachment/Annual%20Report%20SMSM%202025.pdf</x:v>
      </x:c>
    </x:row>
    <x:row r="17">
      <x:c r="A17" s="50" t="str">
        <x:v>Gain on fixed-asset disposals</x:v>
      </x:c>
      <x:c r="B17" s="36" t="n">
        <x:v>13653</x:v>
      </x:c>
      <x:c r="C17" s="36" t="n">
        <x:v>8791</x:v>
      </x:c>
      <x:c r="D17" s="36" t="n">
        <x:v>2322</x:v>
      </x:c>
      <x:c r="E17" s="12" t="str">
        <x:v>R</x:v>
      </x:c>
      <x:c r="F17" s="12"/>
      <x:c r="G17" s="12"/>
      <x:c r="H17" s="12"/>
      <x:c r="I17" t="str">
        <x:v>https://smsm.co.id/uploads/attachment/Annual%20Report%20SMSM%202025.pdf</x:v>
      </x:c>
    </x:row>
    <x:row r="18">
      <x:c r="A18" s="50" t="str">
        <x:v>Property / investment property disposal cash</x:v>
      </x:c>
      <x:c r="B18" s="36" t="n">
        <x:v>0</x:v>
      </x:c>
      <x:c r="C18" s="36" t="n">
        <x:v>0</x:v>
      </x:c>
      <x:c r="D18" s="36" t="n">
        <x:v>87391</x:v>
      </x:c>
      <x:c r="E18" s="12" t="str">
        <x:v>R</x:v>
      </x:c>
      <x:c r="F18" s="12"/>
      <x:c r="G18" s="12"/>
      <x:c r="H18" s="12"/>
      <x:c r="I18" t="str">
        <x:v>https://smsm.co.id/uploads/attachment/Laporan%20Keuangan%20SMSM%2030%20Jun%202026.pdf</x:v>
      </x:c>
    </x:row>
    <x:row r="19">
      <x:c r="A19" s="50"/>
      <x:c r="B19" s="12"/>
      <x:c r="C19" s="12"/>
      <x:c r="D19" s="12"/>
      <x:c r="E19" s="12"/>
      <x:c r="F19" s="12"/>
      <x:c r="G19" s="12"/>
      <x:c r="H19" s="12"/>
    </x:row>
    <x:row r="20" ht="23" customHeight="1">
      <x:c r="A20" s="51" t="str">
        <x:v>RECONCILIATION &amp; FCFF CAPEX CONVENTION</x:v>
      </x:c>
      <x:c r="B20" s="16"/>
      <x:c r="C20" s="16"/>
      <x:c r="D20" s="16"/>
      <x:c r="E20" s="16"/>
      <x:c r="F20" s="16"/>
      <x:c r="G20" s="16"/>
      <x:c r="H20" s="16"/>
      <x:c r="I20" s="15"/>
      <x:c r="J20" s="15"/>
    </x:row>
    <x:row r="21">
      <x:c r="A21" s="62" t="str">
        <x:v>Cash PPE-related payments = purchases + advances</x:v>
      </x:c>
      <x:c r="B21" s="63" t="n">
        <x:f>SUM(B8:B9)</x:f>
        <x:v>210221</x:v>
      </x:c>
      <x:c r="C21" s="63" t="n">
        <x:f>SUM(C8:C9)</x:f>
        <x:v>205041</x:v>
      </x:c>
      <x:c r="D21" s="63" t="n">
        <x:f>SUM(D8:D9)</x:f>
        <x:v>97188</x:v>
      </x:c>
      <x:c r="E21" s="12"/>
      <x:c r="F21" s="12"/>
      <x:c r="G21" s="12"/>
      <x:c r="H21" s="12"/>
    </x:row>
    <x:row r="22">
      <x:c r="A22" s="62" t="str">
        <x:v>Decrease in outstanding capital advances</x:v>
      </x:c>
      <x:c r="B22" s="63" t="n">
        <x:f>B10-B11</x:f>
        <x:v>-19323</x:v>
      </x:c>
      <x:c r="C22" s="63" t="n">
        <x:f>C10-C11</x:f>
        <x:v>36736</x:v>
      </x:c>
      <x:c r="D22" s="63" t="n">
        <x:f>D10-D11</x:f>
        <x:v>13110</x:v>
      </x:c>
      <x:c r="E22" s="12"/>
      <x:c r="F22" s="12"/>
      <x:c r="G22" s="12"/>
      <x:c r="H22" s="12"/>
    </x:row>
    <x:row r="23">
      <x:c r="A23" s="62" t="str">
        <x:v>Implied capital additions = payments + decrease in advances</x:v>
      </x:c>
      <x:c r="B23" s="63" t="n">
        <x:f>SUM(B21:B22)</x:f>
        <x:v>190898</x:v>
      </x:c>
      <x:c r="C23" s="63" t="n">
        <x:f>SUM(C21:C22)</x:f>
        <x:v>241777</x:v>
      </x:c>
      <x:c r="D23" s="63" t="n">
        <x:f>SUM(D21:D22)</x:f>
        <x:v>110298</x:v>
      </x:c>
      <x:c r="E23" s="12"/>
      <x:c r="F23" s="12"/>
      <x:c r="G23" s="12"/>
      <x:c r="H23" s="12"/>
    </x:row>
    <x:row r="24">
      <x:c r="A24" s="62" t="str">
        <x:v>Asset additions difference (must ~0)</x:v>
      </x:c>
      <x:c r="B24" s="63" t="n">
        <x:f>B7-B23</x:f>
        <x:v>541</x:v>
      </x:c>
      <x:c r="C24" s="63" t="n">
        <x:f>C7-C23</x:f>
        <x:v>1</x:v>
      </x:c>
      <x:c r="D24" s="63" t="n">
        <x:f>D7-D23</x:f>
        <x:v>-1</x:v>
      </x:c>
      <x:c r="E24" s="12"/>
      <x:c r="F24" s="12"/>
      <x:c r="G24" s="12"/>
      <x:c r="H24" s="12"/>
      <x:c r="J24" t="str">
        <x:v>FY2024 residual Rp541m (~0.28% of additions); FY2025/H1 residual ±Rp1m.</x:v>
      </x:c>
    </x:row>
    <x:row r="25">
      <x:c r="A25" s="62" t="str">
        <x:v>Capitalized economic PPE additions for historical FCFF proxy</x:v>
      </x:c>
      <x:c r="B25" s="63" t="n">
        <x:f>B7</x:f>
        <x:v>191439</x:v>
      </x:c>
      <x:c r="C25" s="63" t="n">
        <x:f>C7</x:f>
        <x:v>241778</x:v>
      </x:c>
      <x:c r="D25" s="63" t="n">
        <x:f>D7</x:f>
        <x:v>110297</x:v>
      </x:c>
      <x:c r="E25" s="12"/>
      <x:c r="F25" s="12"/>
      <x:c r="G25" s="12" t="str">
        <x:v>Do not additionally subtract advances as CapEx if gross PPE additions already used.</x:v>
      </x:c>
      <x:c r="H25" s="12"/>
    </x:row>
    <x:row r="26">
      <x:c r="A26" s="62" t="str">
        <x:v>Combined total depreciation &amp; amortization</x:v>
      </x:c>
      <x:c r="B26" s="63" t="n">
        <x:f>SUM(B12:B14)</x:f>
        <x:v>172934</x:v>
      </x:c>
      <x:c r="C26" s="63" t="n">
        <x:f>SUM(C12:C14)</x:f>
        <x:v>184294</x:v>
      </x:c>
      <x:c r="D26" s="63" t="n">
        <x:f>SUM(D12:D14)</x:f>
        <x:v>98916</x:v>
      </x:c>
      <x:c r="E26" s="12"/>
      <x:c r="F26" s="12"/>
      <x:c r="G26" s="12"/>
      <x:c r="H26" s="12"/>
    </x:row>
    <x:row r="27">
      <x:c r="A27" s="50"/>
      <x:c r="B27" s="12"/>
      <x:c r="C27" s="12"/>
      <x:c r="D27" s="12"/>
      <x:c r="E27" s="12"/>
      <x:c r="F27" s="12"/>
      <x:c r="G27" s="12"/>
      <x:c r="H27" s="12"/>
    </x:row>
    <x:row r="28">
      <x:c r="A28" s="50" t="str">
        <x:v>CAPEX BASIS</x:v>
      </x:c>
      <x:c r="B28" s="12"/>
      <x:c r="C28" s="12"/>
      <x:c r="D28" s="12"/>
      <x:c r="E28" s="12"/>
      <x:c r="F28" s="12"/>
      <x:c r="G28" s="12"/>
      <x:c r="H28" s="12" t="str">
        <x:v>FY2024 addition/cash+adv residual 541m (&lt;0.3%) remains disclosed; currency/other accrual bridge not fully itemized.</x:v>
      </x:c>
    </x:row>
    <x:row r="29">
      <x:c r="A29" s="50"/>
      <x:c r="B29" s="12"/>
      <x:c r="C29" s="12"/>
      <x:c r="D29" s="12"/>
      <x:c r="E29" s="12"/>
      <x:c r="F29" s="12"/>
      <x:c r="G29" s="12"/>
      <x:c r="H29" s="12"/>
    </x:row>
    <x:row r="30" ht="32" customHeight="1">
      <x:c r="A30" s="56" t="str">
        <x:v>FCFF treatment: expense renewal/growth capital with PPE additions (economic accrual), treat changes in capital advances separately, exclude ROU additions if lease-liability capitalization is used.</x:v>
      </x:c>
      <x:c r="B30" s="20"/>
      <x:c r="C30" s="20"/>
      <x:c r="D30" s="20"/>
      <x:c r="E30" s="20"/>
      <x:c r="F30" s="20"/>
      <x:c r="G30" s="20"/>
      <x:c r="H30" s="20"/>
      <x:c r="I30" s="21"/>
      <x:c r="J30" s="21"/>
    </x:row>
    <x:row r="31" ht="32" customHeight="1">
      <x:c r="A31" s="56" t="str">
        <x:v>A PPE-only additions proxy can omit acquired intangible cash investment if material; 2025/H1 cash intangibles not confirmed.</x:v>
      </x:c>
      <x:c r="B31" s="20"/>
      <x:c r="C31" s="20"/>
      <x:c r="D31" s="20"/>
      <x:c r="E31" s="20"/>
      <x:c r="F31" s="20"/>
      <x:c r="G31" s="20"/>
      <x:c r="H31" s="20"/>
      <x:c r="I31" s="21"/>
      <x:c r="J31" s="21"/>
    </x:row>
    <x:row r="32">
      <x:c r="A32" s="50"/>
      <x:c r="B32" s="12"/>
      <x:c r="C32" s="12"/>
      <x:c r="D32" s="12"/>
      <x:c r="E32" s="12"/>
      <x:c r="F32" s="12"/>
      <x:c r="G32" s="12"/>
      <x:c r="H32" s="12"/>
    </x:row>
    <x:row r="33">
      <x:c r="A33" s="50"/>
      <x:c r="B33" s="12"/>
      <x:c r="C33" s="12"/>
      <x:c r="D33" s="12"/>
      <x:c r="E33" s="12"/>
      <x:c r="F33" s="12"/>
      <x:c r="G33" s="12"/>
      <x:c r="H33" s="12"/>
    </x:row>
    <x:row r="34" ht="23" customHeight="1">
      <x:c r="A34" s="15" t="str">
        <x:v>SUPPLEMENTARY RESTATED FY2023 CAPITAL INVESTMENT BRIDGE (PSAK 338)</x:v>
      </x:c>
      <x:c r="B34" s="16"/>
      <x:c r="C34" s="16"/>
      <x:c r="D34" s="16"/>
      <x:c r="E34" s="16"/>
      <x:c r="F34" s="16"/>
      <x:c r="G34" s="16"/>
      <x:c r="H34" s="16"/>
      <x:c r="I34" s="15"/>
      <x:c r="J34" s="15"/>
    </x:row>
    <x:row r="35">
      <x:c r="A35" s="50" t="str">
        <x:v>Restated FY2023 PPE additions</x:v>
      </x:c>
      <x:c r="B35" s="36" t="n">
        <x:v>146480</x:v>
      </x:c>
      <x:c r="C35" s="12"/>
      <x:c r="D35" s="12"/>
      <x:c r="E35" s="12"/>
      <x:c r="F35" s="12"/>
      <x:c r="G35" s="12"/>
      <x:c r="H35" s="12"/>
      <x:c r="I35" t="str">
        <x:v>https://smsm.co.id/uploads/attachment/LK%20PT%20Selamat%20Sempurna%20Tbk%20per%2031%20Desember%202024.pdf</x:v>
      </x:c>
    </x:row>
    <x:row r="36">
      <x:c r="A36" s="50" t="str">
        <x:v>Cash payments for fixed assets</x:v>
      </x:c>
      <x:c r="B36" s="36" t="n">
        <x:v>87553</x:v>
      </x:c>
      <x:c r="C36" s="12"/>
      <x:c r="D36" s="12"/>
      <x:c r="E36" s="12"/>
      <x:c r="F36" s="12"/>
      <x:c r="G36" s="12"/>
      <x:c r="H36" s="12"/>
    </x:row>
    <x:row r="37">
      <x:c r="A37" s="50" t="str">
        <x:v>Cash advances paid for PPE</x:v>
      </x:c>
      <x:c r="B37" s="36" t="n">
        <x:v>88107</x:v>
      </x:c>
      <x:c r="C37" s="12"/>
      <x:c r="D37" s="12"/>
      <x:c r="E37" s="12"/>
      <x:c r="F37" s="12"/>
      <x:c r="G37" s="12"/>
      <x:c r="H37" s="12"/>
    </x:row>
    <x:row r="38">
      <x:c r="A38" s="50" t="str">
        <x:v>Opening capital advances (1 Jan 2023 restated)</x:v>
      </x:c>
      <x:c r="B38" s="36" t="n">
        <x:v>52817</x:v>
      </x:c>
      <x:c r="C38" s="12"/>
      <x:c r="D38" s="12"/>
      <x:c r="E38" s="12"/>
      <x:c r="F38" s="12"/>
      <x:c r="G38" s="12"/>
      <x:c r="H38" s="12"/>
    </x:row>
    <x:row r="39">
      <x:c r="A39" s="50" t="str">
        <x:v>Closing capital advances (Dec 2023 restated)</x:v>
      </x:c>
      <x:c r="B39" s="36" t="n">
        <x:v>82577</x:v>
      </x:c>
      <x:c r="C39" s="12"/>
      <x:c r="D39" s="12"/>
      <x:c r="E39" s="12"/>
      <x:c r="F39" s="12"/>
      <x:c r="G39" s="12"/>
      <x:c r="H39" s="12"/>
    </x:row>
    <x:row r="40">
      <x:c r="A40" s="50" t="str">
        <x:v>Restated FY2023 implied PPE additions</x:v>
      </x:c>
      <x:c r="B40" s="38" t="n">
        <x:f>SUM(B36:B37)+B38-B39</x:f>
        <x:v>145900</x:v>
      </x:c>
      <x:c r="C40" s="12"/>
      <x:c r="D40" s="12"/>
      <x:c r="E40" s="12"/>
      <x:c r="F40" s="12"/>
      <x:c r="G40" s="12"/>
      <x:c r="H40" s="12"/>
    </x:row>
    <x:row r="41">
      <x:c r="A41" s="50" t="str">
        <x:v>2023 gross PPE additions reconciliation residual</x:v>
      </x:c>
      <x:c r="B41" s="38" t="n">
        <x:f>B35-B40</x:f>
        <x:v>580</x:v>
      </x:c>
      <x:c r="C41" s="12"/>
      <x:c r="D41" s="12"/>
      <x:c r="E41" s="12"/>
      <x:c r="F41" s="12"/>
      <x:c r="G41" s="12"/>
      <x:c r="H41" s="12"/>
      <x:c r="J41" t="str">
        <x:v>Rp580m (~0.40%) remaining cash/accrual/FX timing difference, retained transparently.</x:v>
      </x:c>
    </x:row>
    <x:row r="42">
      <x:c r="A42" s="50"/>
      <x:c r="B42" s="12"/>
      <x:c r="C42" s="12"/>
      <x:c r="D42" s="12"/>
      <x:c r="E42" s="12"/>
      <x:c r="F42" s="12"/>
      <x:c r="G42" s="12"/>
      <x:c r="H42" s="12"/>
    </x:row>
    <x:row r="43">
      <x:c r="A43" s="50"/>
      <x:c r="B43" s="12"/>
      <x:c r="C43" s="12"/>
      <x:c r="D43" s="12"/>
      <x:c r="E43" s="12"/>
      <x:c r="F43" s="12"/>
      <x:c r="G43" s="12"/>
      <x:c r="H43" s="12"/>
    </x:row>
    <x:row r="44">
      <x:c r="A44" s="50"/>
      <x:c r="B44" s="12"/>
      <x:c r="C44" s="12"/>
      <x:c r="D44" s="12"/>
      <x:c r="E44" s="12"/>
      <x:c r="F44" s="12"/>
      <x:c r="G44" s="12"/>
      <x:c r="H44" s="12"/>
    </x:row>
    <x:row r="45">
      <x:c r="A45" s="50"/>
      <x:c r="B45" s="12"/>
      <x:c r="C45" s="12"/>
      <x:c r="D45" s="12"/>
      <x:c r="E45" s="12"/>
      <x:c r="F45" s="12"/>
      <x:c r="G45" s="12"/>
      <x:c r="H45" s="12"/>
    </x:row>
    <x:row r="46">
      <x:c r="A46" s="50"/>
      <x:c r="B46" s="12"/>
      <x:c r="C46" s="12"/>
      <x:c r="D46" s="12"/>
      <x:c r="E46" s="12"/>
      <x:c r="F46" s="12"/>
      <x:c r="G46" s="12"/>
      <x:c r="H46" s="12"/>
    </x:row>
    <x:row r="47">
      <x:c r="A47" s="50"/>
      <x:c r="B47" s="12"/>
      <x:c r="C47" s="12"/>
      <x:c r="D47" s="12"/>
      <x:c r="E47" s="12"/>
      <x:c r="F47" s="12"/>
      <x:c r="G47" s="12"/>
      <x:c r="H47" s="12"/>
    </x:row>
    <x:row r="48">
      <x:c r="A48" s="50"/>
      <x:c r="B48" s="12"/>
      <x:c r="C48" s="12"/>
      <x:c r="D48" s="12"/>
      <x:c r="E48" s="12"/>
      <x:c r="F48" s="12"/>
      <x:c r="G48" s="12"/>
      <x:c r="H48" s="12"/>
    </x:row>
    <x:row r="49">
      <x:c r="A49" s="50"/>
      <x:c r="B49" s="12"/>
      <x:c r="C49" s="12"/>
      <x:c r="D49" s="12"/>
      <x:c r="E49" s="12"/>
      <x:c r="F49" s="12"/>
      <x:c r="G49" s="12"/>
      <x:c r="H49" s="12"/>
    </x:row>
    <x:row r="50">
      <x:c r="A50" s="50"/>
      <x:c r="B50" s="12"/>
      <x:c r="C50" s="12"/>
      <x:c r="D50" s="12"/>
      <x:c r="E50" s="12"/>
      <x:c r="F50" s="12"/>
      <x:c r="G50" s="12"/>
      <x:c r="H50" s="12"/>
    </x:row>
    <x:row r="51">
      <x:c r="A51" s="50"/>
      <x:c r="B51" s="12"/>
      <x:c r="C51" s="12"/>
      <x:c r="D51" s="12"/>
      <x:c r="E51" s="12"/>
      <x:c r="F51" s="12"/>
      <x:c r="G51" s="12"/>
      <x:c r="H51" s="12"/>
    </x:row>
    <x:row r="52">
      <x:c r="A52" s="50"/>
      <x:c r="B52" s="12"/>
      <x:c r="C52" s="12"/>
      <x:c r="D52" s="12"/>
      <x:c r="E52" s="12"/>
      <x:c r="F52" s="12"/>
      <x:c r="G52" s="12"/>
      <x:c r="H52" s="12"/>
    </x:row>
    <x:row r="53">
      <x:c r="A53" s="50"/>
      <x:c r="B53" s="12"/>
      <x:c r="C53" s="12"/>
      <x:c r="D53" s="12"/>
      <x:c r="E53" s="12"/>
      <x:c r="F53" s="12"/>
      <x:c r="G53" s="12"/>
      <x:c r="H53" s="12"/>
    </x:row>
    <x:row r="54">
      <x:c r="A54" s="50"/>
      <x:c r="B54" s="12"/>
      <x:c r="C54" s="12"/>
      <x:c r="D54" s="12"/>
      <x:c r="E54" s="12"/>
      <x:c r="F54" s="12"/>
      <x:c r="G54" s="12"/>
      <x:c r="H54" s="12"/>
    </x:row>
    <x:row r="55">
      <x:c r="A55" s="50"/>
      <x:c r="B55" s="12"/>
      <x:c r="C55" s="12"/>
      <x:c r="D55" s="12"/>
      <x:c r="E55" s="12"/>
      <x:c r="F55" s="12"/>
      <x:c r="G55" s="12"/>
      <x:c r="H55" s="12"/>
    </x:row>
    <x:row r="56">
      <x:c r="A56" s="50"/>
      <x:c r="B56" s="12"/>
      <x:c r="C56" s="12"/>
      <x:c r="D56" s="12"/>
      <x:c r="E56" s="12"/>
      <x:c r="F56" s="12"/>
      <x:c r="G56" s="12"/>
      <x:c r="H56" s="12"/>
    </x:row>
    <x:row r="57">
      <x:c r="A57" s="50"/>
      <x:c r="B57" s="12"/>
      <x:c r="C57" s="12"/>
      <x:c r="D57" s="12"/>
      <x:c r="E57" s="12"/>
      <x:c r="F57" s="12"/>
      <x:c r="G57" s="12"/>
      <x:c r="H57" s="12"/>
    </x:row>
    <x:row r="58">
      <x:c r="A58" s="50"/>
      <x:c r="B58" s="12"/>
      <x:c r="C58" s="12"/>
      <x:c r="D58" s="12"/>
      <x:c r="E58" s="12"/>
      <x:c r="F58" s="12"/>
      <x:c r="G58" s="12"/>
      <x:c r="H58" s="12"/>
    </x:row>
    <x:row r="59">
      <x:c r="A59" s="50"/>
      <x:c r="B59" s="12"/>
      <x:c r="C59" s="12"/>
      <x:c r="D59" s="12"/>
      <x:c r="E59" s="12"/>
      <x:c r="F59" s="12"/>
      <x:c r="G59" s="12"/>
      <x:c r="H59" s="12"/>
    </x:row>
    <x:row r="60">
      <x:c r="A60" s="50"/>
      <x:c r="B60" s="12"/>
      <x:c r="C60" s="12"/>
      <x:c r="D60" s="12"/>
      <x:c r="E60" s="12"/>
      <x:c r="F60" s="12"/>
      <x:c r="G60" s="12"/>
      <x:c r="H60" s="12"/>
    </x:row>
    <x:row r="61">
      <x:c r="B61" s="12"/>
      <x:c r="C61" s="12"/>
      <x:c r="D61" s="12"/>
      <x:c r="E61" s="12"/>
      <x:c r="F61" s="12"/>
      <x:c r="G61" s="12"/>
      <x:c r="H61" s="12"/>
    </x:row>
    <x:row r="62">
      <x:c r="B62" s="12"/>
      <x:c r="C62" s="12"/>
      <x:c r="D62" s="12"/>
      <x:c r="E62" s="12"/>
      <x:c r="F62" s="12"/>
      <x:c r="G62" s="12"/>
      <x:c r="H62" s="12"/>
    </x:row>
    <x:row r="63">
      <x:c r="B63" s="12"/>
      <x:c r="C63" s="12"/>
      <x:c r="D63" s="12"/>
      <x:c r="E63" s="12"/>
      <x:c r="F63" s="12"/>
      <x:c r="G63" s="12"/>
      <x:c r="H63" s="12"/>
    </x:row>
    <x:row r="64">
      <x:c r="B64" s="12"/>
      <x:c r="C64" s="12"/>
      <x:c r="D64" s="12"/>
      <x:c r="E64" s="12"/>
      <x:c r="F64" s="12"/>
      <x:c r="G64" s="12"/>
      <x:c r="H64" s="12"/>
    </x:row>
    <x:row r="65">
      <x:c r="B65" s="12"/>
      <x:c r="C65" s="12"/>
      <x:c r="D65" s="12"/>
      <x:c r="E65" s="12"/>
      <x:c r="F65" s="12"/>
      <x:c r="G65" s="12"/>
      <x:c r="H65" s="12"/>
    </x:row>
    <x:row r="66">
      <x:c r="B66" s="12"/>
      <x:c r="C66" s="12"/>
      <x:c r="D66" s="12"/>
      <x:c r="E66" s="12"/>
      <x:c r="F66" s="12"/>
      <x:c r="G66" s="12"/>
      <x:c r="H66" s="12"/>
    </x:row>
    <x:row r="67">
      <x:c r="B67" s="12"/>
      <x:c r="C67" s="12"/>
      <x:c r="D67" s="12"/>
      <x:c r="E67" s="12"/>
      <x:c r="F67" s="12"/>
      <x:c r="G67" s="12"/>
      <x:c r="H67" s="12"/>
    </x:row>
    <x:row r="68">
      <x:c r="B68" s="12"/>
      <x:c r="C68" s="12"/>
      <x:c r="D68" s="12"/>
      <x:c r="E68" s="12"/>
      <x:c r="F68" s="12"/>
      <x:c r="G68" s="12"/>
      <x:c r="H68" s="12"/>
    </x:row>
    <x:row r="69">
      <x:c r="B69" s="12"/>
      <x:c r="C69" s="12"/>
      <x:c r="D69" s="12"/>
      <x:c r="E69" s="12"/>
      <x:c r="F69" s="12"/>
      <x:c r="G69" s="12"/>
      <x:c r="H69" s="12"/>
    </x:row>
    <x:row r="70">
      <x:c r="B70" s="12"/>
      <x:c r="C70" s="12"/>
      <x:c r="D70" s="12"/>
      <x:c r="E70" s="12"/>
      <x:c r="F70" s="12"/>
      <x:c r="G70" s="12"/>
      <x:c r="H70" s="12"/>
    </x:row>
    <x:row r="71">
      <x:c r="B71" s="12"/>
      <x:c r="C71" s="12"/>
      <x:c r="D71" s="12"/>
      <x:c r="E71" s="12"/>
      <x:c r="F71" s="12"/>
      <x:c r="G71" s="12"/>
      <x:c r="H71" s="12"/>
    </x:row>
    <x:row r="72">
      <x:c r="B72" s="12"/>
      <x:c r="C72" s="12"/>
      <x:c r="D72" s="12"/>
      <x:c r="E72" s="12"/>
      <x:c r="F72" s="12"/>
      <x:c r="G72" s="12"/>
      <x:c r="H72" s="12"/>
    </x:row>
    <x:row r="73">
      <x:c r="B73" s="12"/>
      <x:c r="C73" s="12"/>
      <x:c r="D73" s="12"/>
      <x:c r="E73" s="12"/>
      <x:c r="F73" s="12"/>
      <x:c r="G73" s="12"/>
      <x:c r="H73" s="12"/>
    </x:row>
    <x:row r="74">
      <x:c r="B74" s="12"/>
      <x:c r="C74" s="12"/>
      <x:c r="D74" s="12"/>
      <x:c r="E74" s="12"/>
      <x:c r="F74" s="12"/>
      <x:c r="G74" s="12"/>
      <x:c r="H74" s="12"/>
    </x:row>
    <x:row r="75">
      <x:c r="B75" s="12"/>
      <x:c r="C75" s="12"/>
      <x:c r="D75" s="12"/>
      <x:c r="E75" s="12"/>
      <x:c r="F75" s="12"/>
      <x:c r="G75" s="12"/>
      <x:c r="H75" s="12"/>
    </x:row>
    <x:row r="76">
      <x:c r="B76" s="12"/>
      <x:c r="C76" s="12"/>
      <x:c r="D76" s="12"/>
      <x:c r="E76" s="12"/>
      <x:c r="F76" s="12"/>
      <x:c r="G76" s="12"/>
      <x:c r="H76" s="12"/>
    </x:row>
    <x:row r="77">
      <x:c r="B77" s="12"/>
      <x:c r="C77" s="12"/>
      <x:c r="D77" s="12"/>
      <x:c r="E77" s="12"/>
      <x:c r="F77" s="12"/>
      <x:c r="G77" s="12"/>
      <x:c r="H77" s="12"/>
    </x:row>
    <x:row r="78">
      <x:c r="B78" s="12"/>
      <x:c r="C78" s="12"/>
      <x:c r="D78" s="12"/>
      <x:c r="E78" s="12"/>
      <x:c r="F78" s="12"/>
      <x:c r="G78" s="12"/>
      <x:c r="H78" s="12"/>
    </x:row>
    <x:row r="79">
      <x:c r="B79" s="12"/>
      <x:c r="C79" s="12"/>
      <x:c r="D79" s="12"/>
      <x:c r="E79" s="12"/>
      <x:c r="F79" s="12"/>
      <x:c r="G79" s="12"/>
      <x:c r="H79" s="12"/>
    </x:row>
    <x:row r="80">
      <x:c r="B80" s="12"/>
      <x:c r="C80" s="12"/>
      <x:c r="D80" s="12"/>
      <x:c r="E80" s="12"/>
      <x:c r="F80" s="12"/>
      <x:c r="G80" s="12"/>
      <x:c r="H80" s="12"/>
    </x:row>
    <x:row r="81">
      <x:c r="B81" s="12"/>
      <x:c r="C81" s="12"/>
      <x:c r="D81" s="12"/>
      <x:c r="E81" s="12"/>
      <x:c r="F81" s="12"/>
      <x:c r="G81" s="12"/>
      <x:c r="H81" s="12"/>
    </x:row>
    <x:row r="82">
      <x:c r="B82" s="12"/>
      <x:c r="C82" s="12"/>
      <x:c r="D82" s="12"/>
      <x:c r="E82" s="12"/>
      <x:c r="F82" s="12"/>
      <x:c r="G82" s="12"/>
      <x:c r="H82" s="12"/>
    </x:row>
    <x:row r="83">
      <x:c r="B83" s="12"/>
      <x:c r="C83" s="12"/>
      <x:c r="D83" s="12"/>
      <x:c r="E83" s="12"/>
      <x:c r="F83" s="12"/>
      <x:c r="G83" s="12"/>
      <x:c r="H83" s="12"/>
    </x:row>
    <x:row r="84">
      <x:c r="B84" s="12"/>
      <x:c r="C84" s="12"/>
      <x:c r="D84" s="12"/>
      <x:c r="E84" s="12"/>
      <x:c r="F84" s="12"/>
      <x:c r="G84" s="12"/>
      <x:c r="H84" s="12"/>
    </x:row>
    <x:row r="85">
      <x:c r="B85" s="12"/>
      <x:c r="C85" s="12"/>
      <x:c r="D85" s="12"/>
      <x:c r="E85" s="12"/>
      <x:c r="F85" s="12"/>
      <x:c r="G85" s="12"/>
      <x:c r="H85" s="12"/>
    </x:row>
    <x:row r="86">
      <x:c r="B86" s="12"/>
      <x:c r="C86" s="12"/>
      <x:c r="D86" s="12"/>
      <x:c r="E86" s="12"/>
      <x:c r="F86" s="12"/>
      <x:c r="G86" s="12"/>
      <x:c r="H86" s="12"/>
    </x:row>
    <x:row r="87">
      <x:c r="B87" s="12"/>
      <x:c r="C87" s="12"/>
      <x:c r="D87" s="12"/>
      <x:c r="E87" s="12"/>
      <x:c r="F87" s="12"/>
      <x:c r="G87" s="12"/>
      <x:c r="H87" s="12"/>
    </x:row>
    <x:row r="88">
      <x:c r="B88" s="12"/>
      <x:c r="C88" s="12"/>
      <x:c r="D88" s="12"/>
      <x:c r="E88" s="12"/>
      <x:c r="F88" s="12"/>
      <x:c r="G88" s="12"/>
      <x:c r="H88" s="12"/>
    </x:row>
    <x:row r="89">
      <x:c r="B89" s="12"/>
      <x:c r="C89" s="12"/>
      <x:c r="D89" s="12"/>
      <x:c r="E89" s="12"/>
      <x:c r="F89" s="12"/>
      <x:c r="G89" s="12"/>
      <x:c r="H89" s="12"/>
    </x:row>
    <x:row r="90">
      <x:c r="B90" s="12"/>
      <x:c r="C90" s="12"/>
      <x:c r="D90" s="12"/>
      <x:c r="E90" s="12"/>
      <x:c r="F90" s="12"/>
      <x:c r="G90" s="12"/>
      <x:c r="H90" s="12"/>
    </x:row>
    <x:row r="91">
      <x:c r="B91" s="12"/>
      <x:c r="C91" s="12"/>
      <x:c r="D91" s="12"/>
      <x:c r="E91" s="12"/>
      <x:c r="F91" s="12"/>
      <x:c r="G91" s="12"/>
      <x:c r="H91" s="12"/>
    </x:row>
    <x:row r="92">
      <x:c r="B92" s="12"/>
      <x:c r="C92" s="12"/>
      <x:c r="D92" s="12"/>
      <x:c r="E92" s="12"/>
      <x:c r="F92" s="12"/>
      <x:c r="G92" s="12"/>
      <x:c r="H92" s="12"/>
    </x:row>
    <x:row r="93">
      <x:c r="B93" s="12"/>
      <x:c r="C93" s="12"/>
      <x:c r="D93" s="12"/>
      <x:c r="E93" s="12"/>
      <x:c r="F93" s="12"/>
      <x:c r="G93" s="12"/>
      <x:c r="H93" s="12"/>
    </x:row>
    <x:row r="94">
      <x:c r="B94" s="12"/>
      <x:c r="C94" s="12"/>
      <x:c r="D94" s="12"/>
      <x:c r="E94" s="12"/>
      <x:c r="F94" s="12"/>
      <x:c r="G94" s="12"/>
      <x:c r="H94" s="12"/>
    </x:row>
    <x:row r="95">
      <x:c r="B95" s="12"/>
      <x:c r="C95" s="12"/>
      <x:c r="D95" s="12"/>
      <x:c r="E95" s="12"/>
      <x:c r="F95" s="12"/>
      <x:c r="G95" s="12"/>
      <x:c r="H95" s="12"/>
    </x:row>
    <x:row r="96">
      <x:c r="B96" s="12"/>
      <x:c r="C96" s="12"/>
      <x:c r="D96" s="12"/>
      <x:c r="E96" s="12"/>
      <x:c r="F96" s="12"/>
      <x:c r="G96" s="12"/>
      <x:c r="H96" s="12"/>
    </x:row>
    <x:row r="97">
      <x:c r="B97" s="12"/>
      <x:c r="C97" s="12"/>
      <x:c r="D97" s="12"/>
      <x:c r="E97" s="12"/>
      <x:c r="F97" s="12"/>
      <x:c r="G97" s="12"/>
      <x:c r="H97" s="12"/>
    </x:row>
    <x:row r="98">
      <x:c r="B98" s="12"/>
      <x:c r="C98" s="12"/>
      <x:c r="D98" s="12"/>
      <x:c r="E98" s="12"/>
      <x:c r="F98" s="12"/>
      <x:c r="G98" s="12"/>
      <x:c r="H98" s="12"/>
    </x:row>
    <x:row r="99">
      <x:c r="B99" s="12"/>
      <x:c r="C99" s="12"/>
      <x:c r="D99" s="12"/>
      <x:c r="E99" s="12"/>
      <x:c r="F99" s="12"/>
      <x:c r="G99" s="12"/>
      <x:c r="H99" s="12"/>
    </x:row>
    <x:row r="100">
      <x:c r="B100" s="12"/>
      <x:c r="C100" s="12"/>
      <x:c r="D100" s="12"/>
      <x:c r="E100" s="12"/>
      <x:c r="F100" s="12"/>
      <x:c r="G100" s="12"/>
      <x:c r="H100" s="12"/>
    </x:row>
    <x:row r="101">
      <x:c r="B101" s="12"/>
      <x:c r="C101" s="12"/>
      <x:c r="D101" s="12"/>
      <x:c r="E101" s="12"/>
      <x:c r="F101" s="12"/>
      <x:c r="G101" s="12"/>
      <x:c r="H101" s="12"/>
    </x:row>
    <x:row r="102">
      <x:c r="B102" s="12"/>
      <x:c r="C102" s="12"/>
      <x:c r="D102" s="12"/>
      <x:c r="E102" s="12"/>
      <x:c r="F102" s="12"/>
      <x:c r="G102" s="12"/>
      <x:c r="H102" s="12"/>
    </x:row>
    <x:row r="103">
      <x:c r="B103" s="12"/>
      <x:c r="C103" s="12"/>
      <x:c r="D103" s="12"/>
      <x:c r="E103" s="12"/>
      <x:c r="F103" s="12"/>
      <x:c r="G103" s="12"/>
      <x:c r="H103" s="12"/>
    </x:row>
    <x:row r="104">
      <x:c r="B104" s="12"/>
      <x:c r="C104" s="12"/>
      <x:c r="D104" s="12"/>
      <x:c r="E104" s="12"/>
      <x:c r="F104" s="12"/>
      <x:c r="G104" s="12"/>
      <x:c r="H104" s="12"/>
    </x:row>
    <x:row r="105">
      <x:c r="B105" s="12"/>
      <x:c r="C105" s="12"/>
      <x:c r="D105" s="12"/>
      <x:c r="E105" s="12"/>
      <x:c r="F105" s="12"/>
      <x:c r="G105" s="12"/>
      <x:c r="H105" s="12"/>
    </x:row>
    <x:row r="106">
      <x:c r="B106" s="12"/>
      <x:c r="C106" s="12"/>
      <x:c r="D106" s="12"/>
      <x:c r="E106" s="12"/>
      <x:c r="F106" s="12"/>
      <x:c r="G106" s="12"/>
      <x:c r="H106" s="12"/>
    </x:row>
    <x:row r="107">
      <x:c r="B107" s="12"/>
      <x:c r="C107" s="12"/>
      <x:c r="D107" s="12"/>
      <x:c r="E107" s="12"/>
      <x:c r="F107" s="12"/>
      <x:c r="G107" s="12"/>
      <x:c r="H107" s="12"/>
    </x:row>
    <x:row r="108">
      <x:c r="B108" s="12"/>
      <x:c r="C108" s="12"/>
      <x:c r="D108" s="12"/>
      <x:c r="E108" s="12"/>
      <x:c r="F108" s="12"/>
      <x:c r="G108" s="12"/>
      <x:c r="H108" s="12"/>
    </x:row>
    <x:row r="109">
      <x:c r="B109" s="12"/>
      <x:c r="C109" s="12"/>
      <x:c r="D109" s="12"/>
      <x:c r="E109" s="12"/>
      <x:c r="F109" s="12"/>
      <x:c r="G109" s="12"/>
      <x:c r="H109" s="12"/>
    </x:row>
    <x:row r="110">
      <x:c r="B110" s="12"/>
      <x:c r="C110" s="12"/>
      <x:c r="D110" s="12"/>
      <x:c r="E110" s="12"/>
      <x:c r="F110" s="12"/>
      <x:c r="G110" s="12"/>
      <x:c r="H110" s="12"/>
    </x:row>
    <x:row r="111">
      <x:c r="B111" s="12"/>
      <x:c r="C111" s="12"/>
      <x:c r="D111" s="12"/>
      <x:c r="E111" s="12"/>
      <x:c r="F111" s="12"/>
      <x:c r="G111" s="12"/>
      <x:c r="H111" s="12"/>
    </x:row>
    <x:row r="112">
      <x:c r="B112" s="12"/>
      <x:c r="C112" s="12"/>
      <x:c r="D112" s="12"/>
      <x:c r="E112" s="12"/>
      <x:c r="F112" s="12"/>
      <x:c r="G112" s="12"/>
      <x:c r="H112" s="12"/>
    </x:row>
    <x:row r="113">
      <x:c r="B113" s="12"/>
      <x:c r="C113" s="12"/>
      <x:c r="D113" s="12"/>
      <x:c r="E113" s="12"/>
      <x:c r="F113" s="12"/>
      <x:c r="G113" s="12"/>
      <x:c r="H113" s="12"/>
    </x:row>
    <x:row r="114">
      <x:c r="B114" s="12"/>
      <x:c r="C114" s="12"/>
      <x:c r="D114" s="12"/>
      <x:c r="E114" s="12"/>
      <x:c r="F114" s="12"/>
      <x:c r="G114" s="12"/>
      <x:c r="H114" s="12"/>
    </x:row>
    <x:row r="115">
      <x:c r="B115" s="12"/>
      <x:c r="C115" s="12"/>
      <x:c r="D115" s="12"/>
      <x:c r="E115" s="12"/>
      <x:c r="F115" s="12"/>
      <x:c r="G115" s="12"/>
      <x:c r="H115" s="12"/>
    </x:row>
    <x:row r="116">
      <x:c r="B116" s="12"/>
      <x:c r="C116" s="12"/>
      <x:c r="D116" s="12"/>
      <x:c r="E116" s="12"/>
      <x:c r="F116" s="12"/>
      <x:c r="G116" s="12"/>
      <x:c r="H116" s="12"/>
    </x:row>
    <x:row r="117">
      <x:c r="B117" s="12"/>
      <x:c r="C117" s="12"/>
      <x:c r="D117" s="12"/>
      <x:c r="E117" s="12"/>
      <x:c r="F117" s="12"/>
      <x:c r="G117" s="12"/>
      <x:c r="H117" s="12"/>
    </x:row>
    <x:row r="118">
      <x:c r="B118" s="12"/>
      <x:c r="C118" s="12"/>
      <x:c r="D118" s="12"/>
      <x:c r="E118" s="12"/>
      <x:c r="F118" s="12"/>
      <x:c r="G118" s="12"/>
      <x:c r="H118" s="12"/>
    </x:row>
    <x:row r="119">
      <x:c r="B119" s="12"/>
      <x:c r="C119" s="12"/>
      <x:c r="D119" s="12"/>
      <x:c r="E119" s="12"/>
      <x:c r="F119" s="12"/>
      <x:c r="G119" s="12"/>
      <x:c r="H119" s="12"/>
    </x:row>
    <x:row r="120">
      <x:c r="B120" s="12"/>
      <x:c r="C120" s="12"/>
      <x:c r="D120" s="12"/>
      <x:c r="E120" s="12"/>
      <x:c r="F120" s="12"/>
      <x:c r="G120" s="12"/>
      <x:c r="H120" s="12"/>
    </x:row>
    <x:row r="121">
      <x:c r="B121" s="12"/>
      <x:c r="C121" s="12"/>
      <x:c r="D121" s="12"/>
      <x:c r="E121" s="12"/>
      <x:c r="F121" s="12"/>
      <x:c r="G121" s="12"/>
      <x:c r="H121" s="12"/>
    </x:row>
    <x:row r="122">
      <x:c r="B122" s="12"/>
      <x:c r="C122" s="12"/>
      <x:c r="D122" s="12"/>
      <x:c r="E122" s="12"/>
      <x:c r="F122" s="12"/>
      <x:c r="G122" s="12"/>
      <x:c r="H122" s="12"/>
    </x:row>
    <x:row r="123">
      <x:c r="B123" s="12"/>
      <x:c r="C123" s="12"/>
      <x:c r="D123" s="12"/>
      <x:c r="E123" s="12"/>
      <x:c r="F123" s="12"/>
      <x:c r="G123" s="12"/>
      <x:c r="H123" s="12"/>
    </x:row>
    <x:row r="124">
      <x:c r="B124" s="12"/>
      <x:c r="C124" s="12"/>
      <x:c r="D124" s="12"/>
      <x:c r="E124" s="12"/>
      <x:c r="F124" s="12"/>
      <x:c r="G124" s="12"/>
      <x:c r="H124" s="12"/>
    </x:row>
    <x:row r="125">
      <x:c r="B125" s="12"/>
      <x:c r="C125" s="12"/>
      <x:c r="D125" s="12"/>
      <x:c r="E125" s="12"/>
      <x:c r="F125" s="12"/>
      <x:c r="G125" s="12"/>
      <x:c r="H125" s="12"/>
    </x:row>
  </x:sheetData>
  <x:mergeCells>
    <x:mergeCell ref="A1:J2"/>
    <x:mergeCell ref="A3:J3"/>
    <x:mergeCell ref="A20:J20"/>
    <x:mergeCell ref="A34:J3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51" hidden="0" customWidth="1"/>
    <x:col min="10" max="10" width="70" hidden="0" customWidth="1"/>
  </x:cols>
  <x:sheetData>
    <x:row r="1" ht="23" customHeight="1">
      <x:c r="A1" s="74" t="str">
        <x:v>SMSM | Capital Structure / Ownership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23" customHeight="1">
      <x:c r="A2" s="74"/>
      <x:c r="B2" s="74"/>
      <x:c r="C2" s="74"/>
      <x:c r="D2" s="74"/>
      <x:c r="E2" s="74"/>
      <x:c r="F2" s="74"/>
      <x:c r="G2" s="74"/>
      <x:c r="H2" s="74"/>
      <x:c r="I2" s="74"/>
      <x:c r="J2" s="74"/>
    </x:row>
    <x:row r="3" ht="25" customHeight="1">
      <x:c r="A3" s="75" t="str">
        <x:v>Rp million (except shares and price) • figures are carrying values, not necessarily economic values</x:v>
      </x:c>
      <x:c r="B3" s="75"/>
      <x:c r="C3" s="75"/>
      <x:c r="D3" s="75"/>
      <x:c r="E3" s="75"/>
      <x:c r="F3" s="75"/>
      <x:c r="G3" s="75"/>
      <x:c r="H3" s="75"/>
      <x:c r="I3" s="75"/>
      <x:c r="J3" s="75"/>
    </x:row>
    <x:row r="5">
      <x:c r="B5" s="12"/>
      <x:c r="C5" s="12"/>
      <x:c r="D5" s="12"/>
      <x:c r="E5" s="12"/>
      <x:c r="F5" s="12"/>
      <x:c r="G5" s="12"/>
      <x:c r="H5" s="12"/>
    </x:row>
    <x:row r="6" ht="25" customHeight="1">
      <x:c r="A6" s="28" t="str">
        <x:v>Financial or ownership line</x:v>
      </x:c>
      <x:c r="B6" s="58" t="str">
        <x:v>FY2023 RS</x:v>
      </x:c>
      <x:c r="C6" s="58" t="str">
        <x:v>FY2024</x:v>
      </x:c>
      <x:c r="D6" s="58" t="str">
        <x:v>FY2025</x:v>
      </x:c>
      <x:c r="E6" s="58" t="str">
        <x:v>H1 2026</x:v>
      </x:c>
      <x:c r="F6" s="58" t="str">
        <x:v>Category</x:v>
      </x:c>
      <x:c r="G6" s="58" t="str">
        <x:v>Status</x:v>
      </x:c>
      <x:c r="H6" s="58" t="str">
        <x:v>Use in EV bridge</x:v>
      </x:c>
      <x:c r="I6" s="28" t="str">
        <x:v>Primary source</x:v>
      </x:c>
      <x:c r="J6" s="28" t="str">
        <x:v>Relevant note</x:v>
      </x:c>
    </x:row>
    <x:row r="7">
      <x:c r="A7" s="50" t="str">
        <x:v>Cash / cash equivalents</x:v>
      </x:c>
      <x:c r="B7" s="36" t="n">
        <x:v>1130320</x:v>
      </x:c>
      <x:c r="C7" s="36" t="n">
        <x:v>1113504</x:v>
      </x:c>
      <x:c r="D7" s="36" t="n">
        <x:v>1080091</x:v>
      </x:c>
      <x:c r="E7" s="36" t="n">
        <x:v>1239077</x:v>
      </x:c>
      <x:c r="F7" s="12" t="str">
        <x:v>Asset</x:v>
      </x:c>
      <x:c r="G7" s="12" t="str">
        <x:v>R</x:v>
      </x:c>
      <x:c r="H7" s="12" t="str">
        <x:v>Excess cash vs operating cash</x:v>
      </x:c>
      <x:c r="I7" t="str">
        <x:v>https://smsm.co.id/uploads/attachment/Annual%20Report%20SMSM%202025.pdf</x:v>
      </x:c>
      <x:c r="J7" t="str">
        <x:v>FY2024 audited/ FY2025 audited/ H1 2026 balance sheets</x:v>
      </x:c>
    </x:row>
    <x:row r="8">
      <x:c r="A8" s="50" t="str">
        <x:v>Time deposits &gt;3 months</x:v>
      </x:c>
      <x:c r="B8" s="36" t="n">
        <x:v>32214</x:v>
      </x:c>
      <x:c r="C8" s="36" t="n">
        <x:v>55333</x:v>
      </x:c>
      <x:c r="D8" s="36" t="n">
        <x:v>92607</x:v>
      </x:c>
      <x:c r="E8" s="36" t="n">
        <x:v>118162</x:v>
      </x:c>
      <x:c r="F8" s="12" t="str">
        <x:v>Asset</x:v>
      </x:c>
      <x:c r="G8" s="12" t="str">
        <x:v>R</x:v>
      </x:c>
      <x:c r="H8" s="12" t="str">
        <x:v>Check pledge/restriction</x:v>
      </x:c>
      <x:c r="I8" t="str">
        <x:v>https://smsm.co.id/uploads/attachment/Annual%20Report%20SMSM%202025.pdf</x:v>
      </x:c>
      <x:c r="J8" t="str">
        <x:v>FY2024 audited/ FY2025 audited/ H1 2026 balance sheets</x:v>
      </x:c>
    </x:row>
    <x:row r="9">
      <x:c r="A9" s="50" t="str">
        <x:v>Bank loans — short term</x:v>
      </x:c>
      <x:c r="B9" s="36" t="n">
        <x:v>70532</x:v>
      </x:c>
      <x:c r="C9" s="36" t="n">
        <x:v>35227</x:v>
      </x:c>
      <x:c r="D9" s="36" t="n">
        <x:v>27341</x:v>
      </x:c>
      <x:c r="E9" s="36" t="n">
        <x:v>34835</x:v>
      </x:c>
      <x:c r="F9" s="12" t="str">
        <x:v>Debt</x:v>
      </x:c>
      <x:c r="G9" s="12" t="str">
        <x:v>R</x:v>
      </x:c>
      <x:c r="H9" s="12" t="str">
        <x:v>Deduct at date</x:v>
      </x:c>
      <x:c r="I9" t="str">
        <x:v>https://smsm.co.id/uploads/attachment/Annual%20Report%20SMSM%202025.pdf</x:v>
      </x:c>
      <x:c r="J9" t="str">
        <x:v>FY2024 audited/ FY2025 audited/ H1 2026 balance sheets</x:v>
      </x:c>
    </x:row>
    <x:row r="10">
      <x:c r="A10" s="50" t="str">
        <x:v>Bank loans — current maturities</x:v>
      </x:c>
      <x:c r="B10" s="36" t="n">
        <x:v>24672</x:v>
      </x:c>
      <x:c r="C10" s="36" t="n">
        <x:v>16120</x:v>
      </x:c>
      <x:c r="D10" s="36" t="n">
        <x:v>17717</x:v>
      </x:c>
      <x:c r="E10" s="36" t="n">
        <x:v>17153</x:v>
      </x:c>
      <x:c r="F10" s="12" t="str">
        <x:v>Debt</x:v>
      </x:c>
      <x:c r="G10" s="12" t="str">
        <x:v>R</x:v>
      </x:c>
      <x:c r="H10" s="12" t="str">
        <x:v>Deduct</x:v>
      </x:c>
      <x:c r="I10" t="str">
        <x:v>https://smsm.co.id/uploads/attachment/Annual%20Report%20SMSM%202025.pdf</x:v>
      </x:c>
      <x:c r="J10" t="str">
        <x:v>FY2024 audited/ FY2025 audited/ H1 2026 balance sheets</x:v>
      </x:c>
    </x:row>
    <x:row r="11">
      <x:c r="A11" s="50" t="str">
        <x:v>Bank loans — noncurrent</x:v>
      </x:c>
      <x:c r="B11" s="36" t="n">
        <x:v>103869</x:v>
      </x:c>
      <x:c r="C11" s="36" t="n">
        <x:v>76577</x:v>
      </x:c>
      <x:c r="D11" s="36" t="n">
        <x:v>52310</x:v>
      </x:c>
      <x:c r="E11" s="36" t="n">
        <x:v>43058</x:v>
      </x:c>
      <x:c r="F11" s="12" t="str">
        <x:v>Debt</x:v>
      </x:c>
      <x:c r="G11" s="12" t="str">
        <x:v>R</x:v>
      </x:c>
      <x:c r="H11" s="12" t="str">
        <x:v>Deduct</x:v>
      </x:c>
      <x:c r="I11" t="str">
        <x:v>https://smsm.co.id/uploads/attachment/Annual%20Report%20SMSM%202025.pdf</x:v>
      </x:c>
      <x:c r="J11" t="str">
        <x:v>FY2024 audited/ FY2025 audited/ H1 2026 balance sheets</x:v>
      </x:c>
    </x:row>
    <x:row r="12">
      <x:c r="A12" s="50" t="str">
        <x:v>Lease liabilities — current</x:v>
      </x:c>
      <x:c r="B12" s="36" t="n">
        <x:v>24422</x:v>
      </x:c>
      <x:c r="C12" s="36" t="n">
        <x:v>30527</x:v>
      </x:c>
      <x:c r="D12" s="36" t="n">
        <x:v>39413</x:v>
      </x:c>
      <x:c r="E12" s="36" t="n">
        <x:v>42723</x:v>
      </x:c>
      <x:c r="F12" s="12" t="str">
        <x:v>Lease debt</x:v>
      </x:c>
      <x:c r="G12" s="12" t="str">
        <x:v>R</x:v>
      </x:c>
      <x:c r="H12" s="12" t="str">
        <x:v>Capitalize consistently</x:v>
      </x:c>
      <x:c r="I12" t="str">
        <x:v>https://smsm.co.id/uploads/attachment/Annual%20Report%20SMSM%202025.pdf</x:v>
      </x:c>
      <x:c r="J12" t="str">
        <x:v>FY2024 audited/ FY2025 audited/ H1 2026 balance sheets</x:v>
      </x:c>
    </x:row>
    <x:row r="13">
      <x:c r="A13" s="50" t="str">
        <x:v>Lease liabilities — noncurrent</x:v>
      </x:c>
      <x:c r="B13" s="36" t="n">
        <x:v>72525</x:v>
      </x:c>
      <x:c r="C13" s="36" t="n">
        <x:v>65093</x:v>
      </x:c>
      <x:c r="D13" s="36" t="n">
        <x:v>36203</x:v>
      </x:c>
      <x:c r="E13" s="36" t="n">
        <x:v>24306</x:v>
      </x:c>
      <x:c r="F13" s="12" t="str">
        <x:v>Lease debt</x:v>
      </x:c>
      <x:c r="G13" s="12" t="str">
        <x:v>R</x:v>
      </x:c>
      <x:c r="H13" s="12" t="str">
        <x:v>Capitalize consistently</x:v>
      </x:c>
      <x:c r="I13" t="str">
        <x:v>https://smsm.co.id/uploads/attachment/Annual%20Report%20SMSM%202025.pdf</x:v>
      </x:c>
      <x:c r="J13" t="str">
        <x:v>FY2024 audited/ FY2025 audited/ H1 2026 balance sheets</x:v>
      </x:c>
    </x:row>
    <x:row r="14">
      <x:c r="A14" s="50" t="str">
        <x:v>Non-controlling interests — book</x:v>
      </x:c>
      <x:c r="B14" s="36" t="n">
        <x:v>414476</x:v>
      </x:c>
      <x:c r="C14" s="36" t="n">
        <x:v>453477</x:v>
      </x:c>
      <x:c r="D14" s="36" t="n">
        <x:v>498406</x:v>
      </x:c>
      <x:c r="E14" s="36" t="n">
        <x:v>519060</x:v>
      </x:c>
      <x:c r="F14" s="12" t="str">
        <x:v>NCI</x:v>
      </x:c>
      <x:c r="G14" s="12" t="str">
        <x:v>R</x:v>
      </x:c>
      <x:c r="H14" s="12" t="str">
        <x:v>Book NCI proxy/sensitivity (not market value)</x:v>
      </x:c>
      <x:c r="I14" t="str">
        <x:v>https://smsm.co.id/uploads/attachment/Annual%20Report%20SMSM%202025.pdf</x:v>
      </x:c>
      <x:c r="J14" t="str">
        <x:v>FY2024 audited/ FY2025 audited/ H1 2026 balance sheets</x:v>
      </x:c>
    </x:row>
    <x:row r="15">
      <x:c r="A15" s="50" t="str">
        <x:v>Investments in equity-method associates</x:v>
      </x:c>
      <x:c r="B15" s="36" t="n">
        <x:v>41105</x:v>
      </x:c>
      <x:c r="C15" s="36" t="n">
        <x:v>43693</x:v>
      </x:c>
      <x:c r="D15" s="36" t="n">
        <x:v>46398</x:v>
      </x:c>
      <x:c r="E15" s="36" t="n">
        <x:v>48397</x:v>
      </x:c>
      <x:c r="F15" s="12" t="str">
        <x:v>Investment</x:v>
      </x:c>
      <x:c r="G15" s="12" t="str">
        <x:v>R</x:v>
      </x:c>
      <x:c r="H15" s="12" t="str">
        <x:v>Add separately, not within EBIT</x:v>
      </x:c>
      <x:c r="I15" t="str">
        <x:v>https://smsm.co.id/uploads/attachment/Annual%20Report%20SMSM%202025.pdf</x:v>
      </x:c>
      <x:c r="J15" t="str">
        <x:v>FY2024 audited/ FY2025 audited/ H1 2026 balance sheets</x:v>
      </x:c>
    </x:row>
    <x:row r="16">
      <x:c r="A16" s="50" t="str">
        <x:v>Other share investments</x:v>
      </x:c>
      <x:c r="B16" s="36" t="n">
        <x:v>22794</x:v>
      </x:c>
      <x:c r="C16" s="36" t="n">
        <x:v>27256</x:v>
      </x:c>
      <x:c r="D16" s="36" t="n">
        <x:v>28471</x:v>
      </x:c>
      <x:c r="E16" s="36" t="n">
        <x:v>31031</x:v>
      </x:c>
      <x:c r="F16" s="12" t="str">
        <x:v>Investment</x:v>
      </x:c>
      <x:c r="G16" s="12" t="str">
        <x:v>R</x:v>
      </x:c>
      <x:c r="H16" s="12" t="str">
        <x:v>Only if nonoperating</x:v>
      </x:c>
      <x:c r="I16" t="str">
        <x:v>https://smsm.co.id/uploads/attachment/Annual%20Report%20SMSM%202025.pdf</x:v>
      </x:c>
      <x:c r="J16" t="str">
        <x:v>FY2024 audited/ FY2025 audited/ H1 2026 balance sheets</x:v>
      </x:c>
    </x:row>
    <x:row r="17">
      <x:c r="A17" s="50" t="str">
        <x:v>Investment property</x:v>
      </x:c>
      <x:c r="B17" s="36" t="n">
        <x:v>62955</x:v>
      </x:c>
      <x:c r="C17" s="36" t="n">
        <x:v>62955</x:v>
      </x:c>
      <x:c r="D17" s="36" t="n">
        <x:v>62955</x:v>
      </x:c>
      <x:c r="E17" s="36" t="n">
        <x:v>0</x:v>
      </x:c>
      <x:c r="F17" s="12" t="str">
        <x:v>Investment</x:v>
      </x:c>
      <x:c r="G17" s="12" t="str">
        <x:v>R</x:v>
      </x:c>
      <x:c r="H17" s="12" t="str">
        <x:v>Do not add after disposal</x:v>
      </x:c>
      <x:c r="I17" t="str">
        <x:v>https://smsm.co.id/uploads/attachment/Annual%20Report%20SMSM%202025.pdf</x:v>
      </x:c>
      <x:c r="J17" t="str">
        <x:v>FY2024 audited/ FY2025 audited/ H1 2026 balance sheets</x:v>
      </x:c>
    </x:row>
    <x:row r="18">
      <x:c r="A18" s="50" t="str">
        <x:v>Derivatives — net financial liabilities</x:v>
      </x:c>
      <x:c r="B18" s="36" t="n">
        <x:v>7669</x:v>
      </x:c>
      <x:c r="C18" s="36" t="n">
        <x:v>6745</x:v>
      </x:c>
      <x:c r="D18" s="36" t="n">
        <x:v>2255</x:v>
      </x:c>
      <x:c r="E18" s="36" t="n">
        <x:v>46366</x:v>
      </x:c>
      <x:c r="F18" s="12" t="str">
        <x:v>Hedge</x:v>
      </x:c>
      <x:c r="G18" s="12" t="str">
        <x:v>R</x:v>
      </x:c>
      <x:c r="H18" s="12" t="str">
        <x:v>H1 2026 FX derivatives may hedge working cash flows; separate deduction only after checking treatment.</x:v>
      </x:c>
      <x:c r="I18" t="str">
        <x:v>https://smsm.co.id/uploads/attachment/Annual%20Report%20SMSM%202025.pdf</x:v>
      </x:c>
      <x:c r="J18" t="str">
        <x:v>FY2024 audited/ FY2025 audited/ H1 2026 balance sheets</x:v>
      </x:c>
    </x:row>
    <x:row r="19">
      <x:c r="A19" s="50" t="str">
        <x:v>Dividends payable</x:v>
      </x:c>
      <x:c r="B19" s="36" t="n">
        <x:v>0</x:v>
      </x:c>
      <x:c r="C19" s="36" t="n">
        <x:v>0</x:v>
      </x:c>
      <x:c r="D19" s="36" t="n">
        <x:v>0</x:v>
      </x:c>
      <x:c r="E19" s="36" t="n">
        <x:v>219774</x:v>
      </x:c>
      <x:c r="F19" s="12" t="str">
        <x:v>Distribution</x:v>
      </x:c>
      <x:c r="G19" s="12" t="str">
        <x:v>R</x:v>
      </x:c>
      <x:c r="H19" s="12" t="str">
        <x:v>June dividend payable pertains to payment dates July/August 2026; DO NOT deduct June payable as still outstanding on October market date.</x:v>
      </x:c>
      <x:c r="I19" t="str">
        <x:v>https://www.smsm.co.id/caldividend.php</x:v>
      </x:c>
      <x:c r="J19" t="str">
        <x:v>FY2024 audited/ FY2025 audited/ H1 2026 balance sheets</x:v>
      </x:c>
    </x:row>
    <x:row r="20">
      <x:c r="A20" s="50" t="str">
        <x:v>Total assets</x:v>
      </x:c>
      <x:c r="B20" s="36" t="n">
        <x:v>4588818</x:v>
      </x:c>
      <x:c r="C20" s="36" t="n">
        <x:v>4963939</x:v>
      </x:c>
      <x:c r="D20" s="36" t="n">
        <x:v>5163198</x:v>
      </x:c>
      <x:c r="E20" s="36" t="n">
        <x:v>5716543</x:v>
      </x:c>
      <x:c r="F20" s="12" t="str">
        <x:v>Control</x:v>
      </x:c>
      <x:c r="G20" s="12" t="str">
        <x:v>R</x:v>
      </x:c>
      <x:c r="H20" s="12" t="str">
        <x:v>Accounting</x:v>
      </x:c>
      <x:c r="I20" t="str">
        <x:v>https://smsm.co.id/uploads/attachment/Annual%20Report%20SMSM%202025.pdf</x:v>
      </x:c>
      <x:c r="J20" t="str">
        <x:v>FY2024 audited/ FY2025 audited/ H1 2026 balance sheets</x:v>
      </x:c>
    </x:row>
    <x:row r="21">
      <x:c r="A21" s="50" t="str">
        <x:v>Total liabilities</x:v>
      </x:c>
      <x:c r="B21" s="36" t="n">
        <x:v>947278</x:v>
      </x:c>
      <x:c r="C21" s="36" t="n">
        <x:v>1037924</x:v>
      </x:c>
      <x:c r="D21" s="36" t="n">
        <x:v>856412</x:v>
      </x:c>
      <x:c r="E21" s="36" t="n">
        <x:v>1188811</x:v>
      </x:c>
      <x:c r="F21" s="12" t="str">
        <x:v>Control</x:v>
      </x:c>
      <x:c r="G21" s="12" t="str">
        <x:v>R</x:v>
      </x:c>
      <x:c r="H21" s="12" t="str">
        <x:v>Accounting</x:v>
      </x:c>
      <x:c r="I21" t="str">
        <x:v>https://smsm.co.id/uploads/attachment/Annual%20Report%20SMSM%202025.pdf</x:v>
      </x:c>
      <x:c r="J21" t="str">
        <x:v>FY2024 audited/ FY2025 audited/ H1 2026 balance sheets</x:v>
      </x:c>
    </x:row>
    <x:row r="22">
      <x:c r="A22" s="50" t="str">
        <x:v>Total equity</x:v>
      </x:c>
      <x:c r="B22" s="36" t="n">
        <x:v>3641540</x:v>
      </x:c>
      <x:c r="C22" s="36" t="n">
        <x:v>3926015</x:v>
      </x:c>
      <x:c r="D22" s="36" t="n">
        <x:v>4306786</x:v>
      </x:c>
      <x:c r="E22" s="36" t="n">
        <x:v>4527732</x:v>
      </x:c>
      <x:c r="F22" s="12" t="str">
        <x:v>Control</x:v>
      </x:c>
      <x:c r="G22" s="12" t="str">
        <x:v>R</x:v>
      </x:c>
      <x:c r="H22" s="12" t="str">
        <x:v>Accounting</x:v>
      </x:c>
      <x:c r="I22" t="str">
        <x:v>https://smsm.co.id/uploads/attachment/Annual%20Report%20SMSM%202025.pdf</x:v>
      </x:c>
      <x:c r="J22" t="str">
        <x:v>FY2024 audited/ FY2025 audited/ H1 2026 balance sheets</x:v>
      </x:c>
    </x:row>
    <x:row r="23">
      <x:c r="A23" s="50" t="str">
        <x:v>Equity attributable to parent</x:v>
      </x:c>
      <x:c r="B23" s="36" t="n">
        <x:v>3227064</x:v>
      </x:c>
      <x:c r="C23" s="36" t="n">
        <x:v>3472538</x:v>
      </x:c>
      <x:c r="D23" s="36" t="n">
        <x:v>3808380</x:v>
      </x:c>
      <x:c r="E23" s="36" t="n">
        <x:v>4008672</x:v>
      </x:c>
      <x:c r="F23" s="12" t="str">
        <x:v>Control</x:v>
      </x:c>
      <x:c r="G23" s="12" t="str">
        <x:v>R</x:v>
      </x:c>
      <x:c r="H23" s="12" t="str">
        <x:v>Accounting</x:v>
      </x:c>
      <x:c r="I23" t="str">
        <x:v>https://smsm.co.id/uploads/attachment/Annual%20Report%20SMSM%202025.pdf</x:v>
      </x:c>
      <x:c r="J23" t="str">
        <x:v>FY2024 audited/ FY2025 audited/ H1 2026 balance sheets</x:v>
      </x:c>
    </x:row>
    <x:row r="24">
      <x:c r="A24" s="50"/>
      <x:c r="B24" s="12"/>
      <x:c r="C24" s="12"/>
      <x:c r="D24" s="12"/>
      <x:c r="E24" s="12"/>
      <x:c r="F24" s="12"/>
      <x:c r="G24" s="12"/>
      <x:c r="H24" s="12"/>
    </x:row>
    <x:row r="25" ht="23" customHeight="1">
      <x:c r="A25" s="51" t="str">
        <x:v>RECONCILIATIONS / DATE-CRITICAL MARKET INPUTS</x:v>
      </x:c>
      <x:c r="B25" s="16"/>
      <x:c r="C25" s="16"/>
      <x:c r="D25" s="16"/>
      <x:c r="E25" s="16"/>
      <x:c r="F25" s="16"/>
      <x:c r="G25" s="16"/>
      <x:c r="H25" s="16"/>
      <x:c r="I25" s="15"/>
      <x:c r="J25" s="15"/>
    </x:row>
    <x:row r="26">
      <x:c r="A26" s="50" t="str">
        <x:v>Bank debt = three borrowing classes</x:v>
      </x:c>
      <x:c r="B26" s="38" t="n">
        <x:f>SUM(B9:B11)</x:f>
        <x:v>199073</x:v>
      </x:c>
      <x:c r="C26" s="38" t="n">
        <x:f>SUM(C9:C11)</x:f>
        <x:v>127924</x:v>
      </x:c>
      <x:c r="D26" s="38" t="n">
        <x:f>SUM(D9:D11)</x:f>
        <x:v>97368</x:v>
      </x:c>
      <x:c r="E26" s="38" t="n">
        <x:f>SUM(E9:E11)</x:f>
        <x:v>95046</x:v>
      </x:c>
      <x:c r="F26" s="12"/>
      <x:c r="G26" s="12"/>
      <x:c r="H26" s="12"/>
    </x:row>
    <x:row r="27">
      <x:c r="A27" s="50" t="str">
        <x:v>Total recognized lease debt</x:v>
      </x:c>
      <x:c r="B27" s="38" t="n">
        <x:f>SUM(B12:B13)</x:f>
        <x:v>96947</x:v>
      </x:c>
      <x:c r="C27" s="38" t="n">
        <x:f>SUM(C12:C13)</x:f>
        <x:v>95620</x:v>
      </x:c>
      <x:c r="D27" s="38" t="n">
        <x:f>SUM(D12:D13)</x:f>
        <x:v>75616</x:v>
      </x:c>
      <x:c r="E27" s="38" t="n">
        <x:f>SUM(E12:E13)</x:f>
        <x:v>67029</x:v>
      </x:c>
      <x:c r="F27" s="12"/>
      <x:c r="G27" s="12"/>
      <x:c r="H27" s="12"/>
    </x:row>
    <x:row r="28">
      <x:c r="A28" s="50" t="str">
        <x:v>Total interest-bearing debt including leases</x:v>
      </x:c>
      <x:c r="B28" s="38" t="n">
        <x:f>SUM(B26:B27)</x:f>
        <x:v>296020</x:v>
      </x:c>
      <x:c r="C28" s="38" t="n">
        <x:f>SUM(C26:C27)</x:f>
        <x:v>223544</x:v>
      </x:c>
      <x:c r="D28" s="38" t="n">
        <x:f>SUM(D26:D27)</x:f>
        <x:v>172984</x:v>
      </x:c>
      <x:c r="E28" s="38" t="n">
        <x:f>SUM(E26:E27)</x:f>
        <x:v>162075</x:v>
      </x:c>
      <x:c r="F28" s="12"/>
      <x:c r="G28" s="12"/>
      <x:c r="H28" s="12"/>
    </x:row>
    <x:row r="29">
      <x:c r="A29" s="50" t="str">
        <x:v>Accounting balance sheet residual</x:v>
      </x:c>
      <x:c r="B29" s="38" t="n">
        <x:f>B20-SUM(B21:B22)</x:f>
        <x:v>0</x:v>
      </x:c>
      <x:c r="C29" s="38" t="n">
        <x:f>C20-SUM(C21:C22)</x:f>
        <x:v>0</x:v>
      </x:c>
      <x:c r="D29" s="38" t="n">
        <x:f>D20-SUM(D21:D22)</x:f>
        <x:v>0</x:v>
      </x:c>
      <x:c r="E29" s="38" t="n">
        <x:f>E20-SUM(E21:E22)</x:f>
        <x:v>0</x:v>
      </x:c>
      <x:c r="F29" s="12"/>
      <x:c r="G29" s="12"/>
      <x:c r="H29" s="12"/>
    </x:row>
    <x:row r="30">
      <x:c r="A30" s="50" t="str">
        <x:v>Equity attribution residual</x:v>
      </x:c>
      <x:c r="B30" s="38" t="n">
        <x:f>B22-SUM(B14,B23)</x:f>
        <x:v>0</x:v>
      </x:c>
      <x:c r="C30" s="38" t="n">
        <x:f>C22-SUM(C14,C23)</x:f>
        <x:v>0</x:v>
      </x:c>
      <x:c r="D30" s="38" t="n">
        <x:f>D22-SUM(D14,D23)</x:f>
        <x:v>0</x:v>
      </x:c>
      <x:c r="E30" s="38" t="n">
        <x:f>E22-SUM(E14,E23)</x:f>
        <x:v>0</x:v>
      </x:c>
      <x:c r="F30" s="12"/>
      <x:c r="G30" s="12"/>
      <x:c r="H30" s="12"/>
    </x:row>
    <x:row r="31">
      <x:c r="A31" s="50"/>
      <x:c r="B31" s="12"/>
      <x:c r="C31" s="12"/>
      <x:c r="D31" s="12"/>
      <x:c r="E31" s="12"/>
      <x:c r="F31" s="12"/>
      <x:c r="G31" s="12"/>
      <x:c r="H31" s="12"/>
    </x:row>
    <x:row r="32">
      <x:c r="A32" s="50" t="str">
        <x:v>Issued and fully paid SMSM shares (count)</x:v>
      </x:c>
      <x:c r="B32" s="12"/>
      <x:c r="C32" s="12"/>
      <x:c r="D32" s="12"/>
      <x:c r="E32" s="36" t="n">
        <x:v>5758675440</x:v>
      </x:c>
      <x:c r="F32" s="12"/>
      <x:c r="G32" s="12" t="str">
        <x:v>R: official June 2026 issued count, KSEI securities register confirms 5,758,675,440 total; current Sept monthly report separately listed</x:v>
      </x:c>
      <x:c r="H32" s="12"/>
      <x:c r="I32" t="str">
        <x:v>https://web.ksei.co.id/services/registered-securities/shares/lc/SMSM</x:v>
      </x:c>
      <x:c r="J32" t="str">
        <x:v>KSEI issuer registry: 5,758,675,440 total securities. No recent issued-share change identified; treasury/dilution requires documented review.</x:v>
      </x:c>
    </x:row>
    <x:row r="33">
      <x:c r="A33" s="50" t="str">
        <x:v>Identified treasury shares at 2026-10-23</x:v>
      </x:c>
      <x:c r="B33" s="12"/>
      <x:c r="C33" s="12"/>
      <x:c r="D33" s="12"/>
      <x:c r="E33" s="12"/>
      <x:c r="F33" s="12"/>
      <x:c r="G33" s="12" t="str">
        <x:v>U: no separate treasury equity deduction observed in 2025/June accounts; dated register pending</x:v>
      </x:c>
      <x:c r="H33" s="12"/>
    </x:row>
    <x:row r="34">
      <x:c r="A34" s="50" t="str">
        <x:v>Economically outstanding shares</x:v>
      </x:c>
      <x:c r="B34" s="12"/>
      <x:c r="C34" s="12"/>
      <x:c r="D34" s="12"/>
      <x:c r="E34" s="12"/>
      <x:c r="F34" s="12"/>
      <x:c r="G34" s="12" t="str">
        <x:v>A: if no treasury/dilution, shares outstanding = issued count</x:v>
      </x:c>
      <x:c r="H34" s="12"/>
    </x:row>
    <x:row r="35">
      <x:c r="A35" s="50" t="str">
        <x:v>Reference 23 Oct 2026 closing price (Rp/share)</x:v>
      </x:c>
      <x:c r="B35" s="12"/>
      <x:c r="C35" s="12"/>
      <x:c r="D35" s="12"/>
      <x:c r="E35" s="36" t="n">
        <x:v>1670</x:v>
      </x:c>
      <x:c r="F35" s="12"/>
      <x:c r="G35" s="12" t="str">
        <x:v>Market-data verified from 3 independent providers; official IDX extract not obtained</x:v>
      </x:c>
      <x:c r="H35" s="12"/>
      <x:c r="I35" t="str">
        <x:v>https://stockanalysis.com/quote/idx/SMSM/history/</x:v>
      </x:c>
      <x:c r="J35" t="str">
        <x:v>Cross-check Investing.com and Financial Times; not official IDX record.</x:v>
      </x:c>
    </x:row>
    <x:row r="36">
      <x:c r="A36" s="50" t="str">
        <x:v>Market price source quality</x:v>
      </x:c>
      <x:c r="B36" s="12"/>
      <x:c r="C36" s="12"/>
      <x:c r="D36" s="12"/>
      <x:c r="E36" s="12"/>
      <x:c r="F36" s="12"/>
      <x:c r="G36" s="12"/>
      <x:c r="H36" s="12"/>
    </x:row>
    <x:row r="37">
      <x:c r="A37" s="50"/>
      <x:c r="B37" s="12"/>
      <x:c r="C37" s="12"/>
      <x:c r="D37" s="12"/>
      <x:c r="E37" s="12"/>
      <x:c r="F37" s="12"/>
      <x:c r="G37" s="12"/>
      <x:c r="H37" s="12"/>
    </x:row>
    <x:row r="38">
      <x:c r="A38" s="50"/>
      <x:c r="B38" s="12"/>
      <x:c r="C38" s="12"/>
      <x:c r="D38" s="12"/>
      <x:c r="E38" s="12"/>
      <x:c r="F38" s="12"/>
      <x:c r="G38" s="12"/>
      <x:c r="H38" s="12"/>
    </x:row>
    <x:row r="39" ht="32" customHeight="1">
      <x:c r="A39" s="56" t="str">
        <x:v>Important: period-end FY2025/H1 2026 capital values must be rolled forward or consistently used for the chosen 23 Oct 2026 market price.</x:v>
      </x:c>
      <x:c r="B39" s="20"/>
      <x:c r="C39" s="20"/>
      <x:c r="D39" s="20"/>
      <x:c r="E39" s="20"/>
      <x:c r="F39" s="20"/>
      <x:c r="G39" s="20"/>
      <x:c r="H39" s="20"/>
      <x:c r="I39" s="21"/>
      <x:c r="J39" s="21"/>
    </x:row>
    <x:row r="40">
      <x:c r="A40" s="50"/>
      <x:c r="B40" s="12"/>
      <x:c r="C40" s="12"/>
      <x:c r="D40" s="12"/>
      <x:c r="E40" s="12"/>
      <x:c r="F40" s="12"/>
      <x:c r="G40" s="12"/>
      <x:c r="H40" s="12"/>
    </x:row>
    <x:row r="41">
      <x:c r="A41" s="50"/>
      <x:c r="B41" s="12"/>
      <x:c r="C41" s="12"/>
      <x:c r="D41" s="12"/>
      <x:c r="E41" s="12"/>
      <x:c r="F41" s="12"/>
      <x:c r="G41" s="12"/>
      <x:c r="H41" s="12"/>
    </x:row>
    <x:row r="42">
      <x:c r="A42" s="50"/>
      <x:c r="B42" s="12"/>
      <x:c r="C42" s="12"/>
      <x:c r="D42" s="12"/>
      <x:c r="E42" s="12"/>
      <x:c r="F42" s="12"/>
      <x:c r="G42" s="12"/>
      <x:c r="H42" s="12"/>
    </x:row>
    <x:row r="43">
      <x:c r="A43" s="50"/>
      <x:c r="B43" s="12"/>
      <x:c r="C43" s="12"/>
      <x:c r="D43" s="12"/>
      <x:c r="E43" s="12"/>
      <x:c r="F43" s="12"/>
      <x:c r="G43" s="12"/>
      <x:c r="H43" s="12"/>
    </x:row>
    <x:row r="44">
      <x:c r="A44" s="50"/>
      <x:c r="B44" s="12"/>
      <x:c r="C44" s="12"/>
      <x:c r="D44" s="12"/>
      <x:c r="E44" s="12"/>
      <x:c r="F44" s="12"/>
      <x:c r="G44" s="12"/>
      <x:c r="H44" s="12"/>
    </x:row>
    <x:row r="45">
      <x:c r="A45" s="50"/>
      <x:c r="B45" s="12"/>
      <x:c r="C45" s="12"/>
      <x:c r="D45" s="12"/>
      <x:c r="E45" s="12"/>
      <x:c r="F45" s="12"/>
      <x:c r="G45" s="12"/>
      <x:c r="H45" s="12"/>
    </x:row>
    <x:row r="46">
      <x:c r="A46" s="50"/>
      <x:c r="B46" s="12"/>
      <x:c r="C46" s="12"/>
      <x:c r="D46" s="12"/>
      <x:c r="E46" s="12"/>
      <x:c r="F46" s="12"/>
      <x:c r="G46" s="12"/>
      <x:c r="H46" s="12"/>
    </x:row>
    <x:row r="47">
      <x:c r="A47" s="50"/>
      <x:c r="B47" s="12"/>
      <x:c r="C47" s="12"/>
      <x:c r="D47" s="12"/>
      <x:c r="E47" s="12"/>
      <x:c r="F47" s="12"/>
      <x:c r="G47" s="12"/>
      <x:c r="H47" s="12"/>
    </x:row>
    <x:row r="48">
      <x:c r="A48" s="50"/>
      <x:c r="B48" s="12"/>
      <x:c r="C48" s="12"/>
      <x:c r="D48" s="12"/>
      <x:c r="E48" s="12"/>
      <x:c r="F48" s="12"/>
      <x:c r="G48" s="12"/>
      <x:c r="H48" s="12"/>
    </x:row>
    <x:row r="49">
      <x:c r="A49" s="50"/>
      <x:c r="B49" s="12"/>
      <x:c r="C49" s="12"/>
      <x:c r="D49" s="12"/>
      <x:c r="E49" s="12"/>
      <x:c r="F49" s="12"/>
      <x:c r="G49" s="12"/>
      <x:c r="H49" s="12"/>
    </x:row>
    <x:row r="50">
      <x:c r="A50" s="50"/>
      <x:c r="B50" s="12"/>
      <x:c r="C50" s="12"/>
      <x:c r="D50" s="12"/>
      <x:c r="E50" s="12"/>
      <x:c r="F50" s="12"/>
      <x:c r="G50" s="12"/>
      <x:c r="H50" s="12"/>
    </x:row>
    <x:row r="51">
      <x:c r="A51" s="50"/>
      <x:c r="B51" s="12"/>
      <x:c r="C51" s="12"/>
      <x:c r="D51" s="12"/>
      <x:c r="E51" s="12"/>
      <x:c r="F51" s="12"/>
      <x:c r="G51" s="12"/>
      <x:c r="H51" s="12"/>
    </x:row>
    <x:row r="52">
      <x:c r="A52" s="50"/>
      <x:c r="B52" s="12"/>
      <x:c r="C52" s="12"/>
      <x:c r="D52" s="12"/>
      <x:c r="E52" s="12"/>
      <x:c r="F52" s="12"/>
      <x:c r="G52" s="12"/>
      <x:c r="H52" s="12"/>
    </x:row>
    <x:row r="53">
      <x:c r="A53" s="50"/>
      <x:c r="B53" s="12"/>
      <x:c r="C53" s="12"/>
      <x:c r="D53" s="12"/>
      <x:c r="E53" s="12"/>
      <x:c r="F53" s="12"/>
      <x:c r="G53" s="12"/>
      <x:c r="H53" s="12"/>
    </x:row>
    <x:row r="54">
      <x:c r="A54" s="50"/>
      <x:c r="B54" s="12"/>
      <x:c r="C54" s="12"/>
      <x:c r="D54" s="12"/>
      <x:c r="E54" s="12"/>
      <x:c r="F54" s="12"/>
      <x:c r="G54" s="12"/>
      <x:c r="H54" s="12"/>
    </x:row>
    <x:row r="55">
      <x:c r="A55" s="50"/>
      <x:c r="B55" s="12"/>
      <x:c r="C55" s="12"/>
      <x:c r="D55" s="12"/>
      <x:c r="E55" s="12"/>
      <x:c r="F55" s="12"/>
      <x:c r="G55" s="12"/>
      <x:c r="H55" s="12"/>
    </x:row>
    <x:row r="56">
      <x:c r="A56" s="50"/>
      <x:c r="B56" s="12"/>
      <x:c r="C56" s="12"/>
      <x:c r="D56" s="12"/>
      <x:c r="E56" s="12"/>
      <x:c r="F56" s="12"/>
      <x:c r="G56" s="12"/>
      <x:c r="H56" s="12"/>
    </x:row>
    <x:row r="57">
      <x:c r="A57" s="50"/>
      <x:c r="B57" s="12"/>
      <x:c r="C57" s="12"/>
      <x:c r="D57" s="12"/>
      <x:c r="E57" s="12"/>
      <x:c r="F57" s="12"/>
      <x:c r="G57" s="12"/>
      <x:c r="H57" s="12"/>
    </x:row>
    <x:row r="58">
      <x:c r="A58" s="50"/>
      <x:c r="B58" s="12"/>
      <x:c r="C58" s="12"/>
      <x:c r="D58" s="12"/>
      <x:c r="E58" s="12"/>
      <x:c r="F58" s="12"/>
      <x:c r="G58" s="12"/>
      <x:c r="H58" s="12"/>
    </x:row>
    <x:row r="59">
      <x:c r="A59" s="50"/>
      <x:c r="B59" s="12"/>
      <x:c r="C59" s="12"/>
      <x:c r="D59" s="12"/>
      <x:c r="E59" s="12"/>
      <x:c r="F59" s="12"/>
      <x:c r="G59" s="12"/>
      <x:c r="H59" s="12"/>
    </x:row>
    <x:row r="60">
      <x:c r="A60" s="50"/>
      <x:c r="B60" s="12"/>
      <x:c r="C60" s="12"/>
      <x:c r="D60" s="12"/>
      <x:c r="E60" s="12"/>
      <x:c r="F60" s="12"/>
      <x:c r="G60" s="12"/>
      <x:c r="H60" s="12"/>
    </x:row>
    <x:row r="61">
      <x:c r="B61" s="12"/>
      <x:c r="C61" s="12"/>
      <x:c r="D61" s="12"/>
      <x:c r="E61" s="12"/>
      <x:c r="F61" s="12"/>
      <x:c r="G61" s="12"/>
      <x:c r="H61" s="12"/>
    </x:row>
    <x:row r="62">
      <x:c r="B62" s="12"/>
      <x:c r="C62" s="12"/>
      <x:c r="D62" s="12"/>
      <x:c r="E62" s="12"/>
      <x:c r="F62" s="12"/>
      <x:c r="G62" s="12"/>
      <x:c r="H62" s="12"/>
    </x:row>
    <x:row r="63">
      <x:c r="B63" s="12"/>
      <x:c r="C63" s="12"/>
      <x:c r="D63" s="12"/>
      <x:c r="E63" s="12"/>
      <x:c r="F63" s="12"/>
      <x:c r="G63" s="12"/>
      <x:c r="H63" s="12"/>
    </x:row>
    <x:row r="64">
      <x:c r="B64" s="12"/>
      <x:c r="C64" s="12"/>
      <x:c r="D64" s="12"/>
      <x:c r="E64" s="12"/>
      <x:c r="F64" s="12"/>
      <x:c r="G64" s="12"/>
      <x:c r="H64" s="12"/>
    </x:row>
    <x:row r="65">
      <x:c r="B65" s="12"/>
      <x:c r="C65" s="12"/>
      <x:c r="D65" s="12"/>
      <x:c r="E65" s="12"/>
      <x:c r="F65" s="12"/>
      <x:c r="G65" s="12"/>
      <x:c r="H65" s="12"/>
    </x:row>
    <x:row r="66">
      <x:c r="B66" s="12"/>
      <x:c r="C66" s="12"/>
      <x:c r="D66" s="12"/>
      <x:c r="E66" s="12"/>
      <x:c r="F66" s="12"/>
      <x:c r="G66" s="12"/>
      <x:c r="H66" s="12"/>
    </x:row>
    <x:row r="67">
      <x:c r="B67" s="12"/>
      <x:c r="C67" s="12"/>
      <x:c r="D67" s="12"/>
      <x:c r="E67" s="12"/>
      <x:c r="F67" s="12"/>
      <x:c r="G67" s="12"/>
      <x:c r="H67" s="12"/>
    </x:row>
    <x:row r="68">
      <x:c r="B68" s="12"/>
      <x:c r="C68" s="12"/>
      <x:c r="D68" s="12"/>
      <x:c r="E68" s="12"/>
      <x:c r="F68" s="12"/>
      <x:c r="G68" s="12"/>
      <x:c r="H68" s="12"/>
    </x:row>
    <x:row r="69">
      <x:c r="B69" s="12"/>
      <x:c r="C69" s="12"/>
      <x:c r="D69" s="12"/>
      <x:c r="E69" s="12"/>
      <x:c r="F69" s="12"/>
      <x:c r="G69" s="12"/>
      <x:c r="H69" s="12"/>
    </x:row>
    <x:row r="70">
      <x:c r="B70" s="12"/>
      <x:c r="C70" s="12"/>
      <x:c r="D70" s="12"/>
      <x:c r="E70" s="12"/>
      <x:c r="F70" s="12"/>
      <x:c r="G70" s="12"/>
      <x:c r="H70" s="12"/>
    </x:row>
    <x:row r="71">
      <x:c r="B71" s="12"/>
      <x:c r="C71" s="12"/>
      <x:c r="D71" s="12"/>
      <x:c r="E71" s="12"/>
      <x:c r="F71" s="12"/>
      <x:c r="G71" s="12"/>
      <x:c r="H71" s="12"/>
    </x:row>
    <x:row r="72">
      <x:c r="B72" s="12"/>
      <x:c r="C72" s="12"/>
      <x:c r="D72" s="12"/>
      <x:c r="E72" s="12"/>
      <x:c r="F72" s="12"/>
      <x:c r="G72" s="12"/>
      <x:c r="H72" s="12"/>
    </x:row>
    <x:row r="73">
      <x:c r="B73" s="12"/>
      <x:c r="C73" s="12"/>
      <x:c r="D73" s="12"/>
      <x:c r="E73" s="12"/>
      <x:c r="F73" s="12"/>
      <x:c r="G73" s="12"/>
      <x:c r="H73" s="12"/>
    </x:row>
    <x:row r="74">
      <x:c r="B74" s="12"/>
      <x:c r="C74" s="12"/>
      <x:c r="D74" s="12"/>
      <x:c r="E74" s="12"/>
      <x:c r="F74" s="12"/>
      <x:c r="G74" s="12"/>
      <x:c r="H74" s="12"/>
    </x:row>
    <x:row r="75">
      <x:c r="B75" s="12"/>
      <x:c r="C75" s="12"/>
      <x:c r="D75" s="12"/>
      <x:c r="E75" s="12"/>
      <x:c r="F75" s="12"/>
      <x:c r="G75" s="12"/>
      <x:c r="H75" s="12"/>
    </x:row>
    <x:row r="76">
      <x:c r="B76" s="12"/>
      <x:c r="C76" s="12"/>
      <x:c r="D76" s="12"/>
      <x:c r="E76" s="12"/>
      <x:c r="F76" s="12"/>
      <x:c r="G76" s="12"/>
      <x:c r="H76" s="12"/>
    </x:row>
    <x:row r="77">
      <x:c r="B77" s="12"/>
      <x:c r="C77" s="12"/>
      <x:c r="D77" s="12"/>
      <x:c r="E77" s="12"/>
      <x:c r="F77" s="12"/>
      <x:c r="G77" s="12"/>
      <x:c r="H77" s="12"/>
    </x:row>
    <x:row r="78">
      <x:c r="B78" s="12"/>
      <x:c r="C78" s="12"/>
      <x:c r="D78" s="12"/>
      <x:c r="E78" s="12"/>
      <x:c r="F78" s="12"/>
      <x:c r="G78" s="12"/>
      <x:c r="H78" s="12"/>
    </x:row>
    <x:row r="79">
      <x:c r="B79" s="12"/>
      <x:c r="C79" s="12"/>
      <x:c r="D79" s="12"/>
      <x:c r="E79" s="12"/>
      <x:c r="F79" s="12"/>
      <x:c r="G79" s="12"/>
      <x:c r="H79" s="12"/>
    </x:row>
    <x:row r="80">
      <x:c r="B80" s="12"/>
      <x:c r="C80" s="12"/>
      <x:c r="D80" s="12"/>
      <x:c r="E80" s="12"/>
      <x:c r="F80" s="12"/>
      <x:c r="G80" s="12"/>
      <x:c r="H80" s="12"/>
    </x:row>
    <x:row r="81">
      <x:c r="B81" s="12"/>
      <x:c r="C81" s="12"/>
      <x:c r="D81" s="12"/>
      <x:c r="E81" s="12"/>
      <x:c r="F81" s="12"/>
      <x:c r="G81" s="12"/>
      <x:c r="H81" s="12"/>
    </x:row>
    <x:row r="82">
      <x:c r="B82" s="12"/>
      <x:c r="C82" s="12"/>
      <x:c r="D82" s="12"/>
      <x:c r="E82" s="12"/>
      <x:c r="F82" s="12"/>
      <x:c r="G82" s="12"/>
      <x:c r="H82" s="12"/>
    </x:row>
    <x:row r="83">
      <x:c r="B83" s="12"/>
      <x:c r="C83" s="12"/>
      <x:c r="D83" s="12"/>
      <x:c r="E83" s="12"/>
      <x:c r="F83" s="12"/>
      <x:c r="G83" s="12"/>
      <x:c r="H83" s="12"/>
    </x:row>
    <x:row r="84">
      <x:c r="B84" s="12"/>
      <x:c r="C84" s="12"/>
      <x:c r="D84" s="12"/>
      <x:c r="E84" s="12"/>
      <x:c r="F84" s="12"/>
      <x:c r="G84" s="12"/>
      <x:c r="H84" s="12"/>
    </x:row>
    <x:row r="85">
      <x:c r="B85" s="12"/>
      <x:c r="C85" s="12"/>
      <x:c r="D85" s="12"/>
      <x:c r="E85" s="12"/>
      <x:c r="F85" s="12"/>
      <x:c r="G85" s="12"/>
      <x:c r="H85" s="12"/>
    </x:row>
    <x:row r="86">
      <x:c r="B86" s="12"/>
      <x:c r="C86" s="12"/>
      <x:c r="D86" s="12"/>
      <x:c r="E86" s="12"/>
      <x:c r="F86" s="12"/>
      <x:c r="G86" s="12"/>
      <x:c r="H86" s="12"/>
    </x:row>
    <x:row r="87">
      <x:c r="B87" s="12"/>
      <x:c r="C87" s="12"/>
      <x:c r="D87" s="12"/>
      <x:c r="E87" s="12"/>
      <x:c r="F87" s="12"/>
      <x:c r="G87" s="12"/>
      <x:c r="H87" s="12"/>
    </x:row>
    <x:row r="88">
      <x:c r="B88" s="12"/>
      <x:c r="C88" s="12"/>
      <x:c r="D88" s="12"/>
      <x:c r="E88" s="12"/>
      <x:c r="F88" s="12"/>
      <x:c r="G88" s="12"/>
      <x:c r="H88" s="12"/>
    </x:row>
    <x:row r="89">
      <x:c r="B89" s="12"/>
      <x:c r="C89" s="12"/>
      <x:c r="D89" s="12"/>
      <x:c r="E89" s="12"/>
      <x:c r="F89" s="12"/>
      <x:c r="G89" s="12"/>
      <x:c r="H89" s="12"/>
    </x:row>
    <x:row r="90">
      <x:c r="B90" s="12"/>
      <x:c r="C90" s="12"/>
      <x:c r="D90" s="12"/>
      <x:c r="E90" s="12"/>
      <x:c r="F90" s="12"/>
      <x:c r="G90" s="12"/>
      <x:c r="H90" s="12"/>
    </x:row>
    <x:row r="91">
      <x:c r="B91" s="12"/>
      <x:c r="C91" s="12"/>
      <x:c r="D91" s="12"/>
      <x:c r="E91" s="12"/>
      <x:c r="F91" s="12"/>
      <x:c r="G91" s="12"/>
      <x:c r="H91" s="12"/>
    </x:row>
    <x:row r="92">
      <x:c r="B92" s="12"/>
      <x:c r="C92" s="12"/>
      <x:c r="D92" s="12"/>
      <x:c r="E92" s="12"/>
      <x:c r="F92" s="12"/>
      <x:c r="G92" s="12"/>
      <x:c r="H92" s="12"/>
    </x:row>
    <x:row r="93">
      <x:c r="B93" s="12"/>
      <x:c r="C93" s="12"/>
      <x:c r="D93" s="12"/>
      <x:c r="E93" s="12"/>
      <x:c r="F93" s="12"/>
      <x:c r="G93" s="12"/>
      <x:c r="H93" s="12"/>
    </x:row>
    <x:row r="94">
      <x:c r="B94" s="12"/>
      <x:c r="C94" s="12"/>
      <x:c r="D94" s="12"/>
      <x:c r="E94" s="12"/>
      <x:c r="F94" s="12"/>
      <x:c r="G94" s="12"/>
      <x:c r="H94" s="12"/>
    </x:row>
    <x:row r="95">
      <x:c r="B95" s="12"/>
      <x:c r="C95" s="12"/>
      <x:c r="D95" s="12"/>
      <x:c r="E95" s="12"/>
      <x:c r="F95" s="12"/>
      <x:c r="G95" s="12"/>
      <x:c r="H95" s="12"/>
    </x:row>
    <x:row r="96">
      <x:c r="B96" s="12"/>
      <x:c r="C96" s="12"/>
      <x:c r="D96" s="12"/>
      <x:c r="E96" s="12"/>
      <x:c r="F96" s="12"/>
      <x:c r="G96" s="12"/>
      <x:c r="H96" s="12"/>
    </x:row>
    <x:row r="97">
      <x:c r="B97" s="12"/>
      <x:c r="C97" s="12"/>
      <x:c r="D97" s="12"/>
      <x:c r="E97" s="12"/>
      <x:c r="F97" s="12"/>
      <x:c r="G97" s="12"/>
      <x:c r="H97" s="12"/>
    </x:row>
    <x:row r="98">
      <x:c r="B98" s="12"/>
      <x:c r="C98" s="12"/>
      <x:c r="D98" s="12"/>
      <x:c r="E98" s="12"/>
      <x:c r="F98" s="12"/>
      <x:c r="G98" s="12"/>
      <x:c r="H98" s="12"/>
    </x:row>
    <x:row r="99">
      <x:c r="B99" s="12"/>
      <x:c r="C99" s="12"/>
      <x:c r="D99" s="12"/>
      <x:c r="E99" s="12"/>
      <x:c r="F99" s="12"/>
      <x:c r="G99" s="12"/>
      <x:c r="H99" s="12"/>
    </x:row>
    <x:row r="100">
      <x:c r="B100" s="12"/>
      <x:c r="C100" s="12"/>
      <x:c r="D100" s="12"/>
      <x:c r="E100" s="12"/>
      <x:c r="F100" s="12"/>
      <x:c r="G100" s="12"/>
      <x:c r="H100" s="12"/>
    </x:row>
    <x:row r="101">
      <x:c r="B101" s="12"/>
      <x:c r="C101" s="12"/>
      <x:c r="D101" s="12"/>
      <x:c r="E101" s="12"/>
      <x:c r="F101" s="12"/>
      <x:c r="G101" s="12"/>
      <x:c r="H101" s="12"/>
    </x:row>
    <x:row r="102">
      <x:c r="B102" s="12"/>
      <x:c r="C102" s="12"/>
      <x:c r="D102" s="12"/>
      <x:c r="E102" s="12"/>
      <x:c r="F102" s="12"/>
      <x:c r="G102" s="12"/>
      <x:c r="H102" s="12"/>
    </x:row>
    <x:row r="103">
      <x:c r="B103" s="12"/>
      <x:c r="C103" s="12"/>
      <x:c r="D103" s="12"/>
      <x:c r="E103" s="12"/>
      <x:c r="F103" s="12"/>
      <x:c r="G103" s="12"/>
      <x:c r="H103" s="12"/>
    </x:row>
    <x:row r="104">
      <x:c r="B104" s="12"/>
      <x:c r="C104" s="12"/>
      <x:c r="D104" s="12"/>
      <x:c r="E104" s="12"/>
      <x:c r="F104" s="12"/>
      <x:c r="G104" s="12"/>
      <x:c r="H104" s="12"/>
    </x:row>
    <x:row r="105">
      <x:c r="B105" s="12"/>
      <x:c r="C105" s="12"/>
      <x:c r="D105" s="12"/>
      <x:c r="E105" s="12"/>
      <x:c r="F105" s="12"/>
      <x:c r="G105" s="12"/>
      <x:c r="H105" s="12"/>
    </x:row>
    <x:row r="106">
      <x:c r="B106" s="12"/>
      <x:c r="C106" s="12"/>
      <x:c r="D106" s="12"/>
      <x:c r="E106" s="12"/>
      <x:c r="F106" s="12"/>
      <x:c r="G106" s="12"/>
      <x:c r="H106" s="12"/>
    </x:row>
    <x:row r="107">
      <x:c r="B107" s="12"/>
      <x:c r="C107" s="12"/>
      <x:c r="D107" s="12"/>
      <x:c r="E107" s="12"/>
      <x:c r="F107" s="12"/>
      <x:c r="G107" s="12"/>
      <x:c r="H107" s="12"/>
    </x:row>
    <x:row r="108">
      <x:c r="B108" s="12"/>
      <x:c r="C108" s="12"/>
      <x:c r="D108" s="12"/>
      <x:c r="E108" s="12"/>
      <x:c r="F108" s="12"/>
      <x:c r="G108" s="12"/>
      <x:c r="H108" s="12"/>
    </x:row>
    <x:row r="109">
      <x:c r="B109" s="12"/>
      <x:c r="C109" s="12"/>
      <x:c r="D109" s="12"/>
      <x:c r="E109" s="12"/>
      <x:c r="F109" s="12"/>
      <x:c r="G109" s="12"/>
      <x:c r="H109" s="12"/>
    </x:row>
    <x:row r="110">
      <x:c r="B110" s="12"/>
      <x:c r="C110" s="12"/>
      <x:c r="D110" s="12"/>
      <x:c r="E110" s="12"/>
      <x:c r="F110" s="12"/>
      <x:c r="G110" s="12"/>
      <x:c r="H110" s="12"/>
    </x:row>
    <x:row r="111">
      <x:c r="B111" s="12"/>
      <x:c r="C111" s="12"/>
      <x:c r="D111" s="12"/>
      <x:c r="E111" s="12"/>
      <x:c r="F111" s="12"/>
      <x:c r="G111" s="12"/>
      <x:c r="H111" s="12"/>
    </x:row>
    <x:row r="112">
      <x:c r="B112" s="12"/>
      <x:c r="C112" s="12"/>
      <x:c r="D112" s="12"/>
      <x:c r="E112" s="12"/>
      <x:c r="F112" s="12"/>
      <x:c r="G112" s="12"/>
      <x:c r="H112" s="12"/>
    </x:row>
    <x:row r="113">
      <x:c r="B113" s="12"/>
      <x:c r="C113" s="12"/>
      <x:c r="D113" s="12"/>
      <x:c r="E113" s="12"/>
      <x:c r="F113" s="12"/>
      <x:c r="G113" s="12"/>
      <x:c r="H113" s="12"/>
    </x:row>
    <x:row r="114">
      <x:c r="B114" s="12"/>
      <x:c r="C114" s="12"/>
      <x:c r="D114" s="12"/>
      <x:c r="E114" s="12"/>
      <x:c r="F114" s="12"/>
      <x:c r="G114" s="12"/>
      <x:c r="H114" s="12"/>
    </x:row>
    <x:row r="115">
      <x:c r="B115" s="12"/>
      <x:c r="C115" s="12"/>
      <x:c r="D115" s="12"/>
      <x:c r="E115" s="12"/>
      <x:c r="F115" s="12"/>
      <x:c r="G115" s="12"/>
      <x:c r="H115" s="12"/>
    </x:row>
    <x:row r="116">
      <x:c r="B116" s="12"/>
      <x:c r="C116" s="12"/>
      <x:c r="D116" s="12"/>
      <x:c r="E116" s="12"/>
      <x:c r="F116" s="12"/>
      <x:c r="G116" s="12"/>
      <x:c r="H116" s="12"/>
    </x:row>
    <x:row r="117">
      <x:c r="B117" s="12"/>
      <x:c r="C117" s="12"/>
      <x:c r="D117" s="12"/>
      <x:c r="E117" s="12"/>
      <x:c r="F117" s="12"/>
      <x:c r="G117" s="12"/>
      <x:c r="H117" s="12"/>
    </x:row>
    <x:row r="118">
      <x:c r="B118" s="12"/>
      <x:c r="C118" s="12"/>
      <x:c r="D118" s="12"/>
      <x:c r="E118" s="12"/>
      <x:c r="F118" s="12"/>
      <x:c r="G118" s="12"/>
      <x:c r="H118" s="12"/>
    </x:row>
    <x:row r="119">
      <x:c r="B119" s="12"/>
      <x:c r="C119" s="12"/>
      <x:c r="D119" s="12"/>
      <x:c r="E119" s="12"/>
      <x:c r="F119" s="12"/>
      <x:c r="G119" s="12"/>
      <x:c r="H119" s="12"/>
    </x:row>
    <x:row r="120">
      <x:c r="B120" s="12"/>
      <x:c r="C120" s="12"/>
      <x:c r="D120" s="12"/>
      <x:c r="E120" s="12"/>
      <x:c r="F120" s="12"/>
      <x:c r="G120" s="12"/>
      <x:c r="H120" s="12"/>
    </x:row>
    <x:row r="121">
      <x:c r="B121" s="12"/>
      <x:c r="C121" s="12"/>
      <x:c r="D121" s="12"/>
      <x:c r="E121" s="12"/>
      <x:c r="F121" s="12"/>
      <x:c r="G121" s="12"/>
      <x:c r="H121" s="12"/>
    </x:row>
    <x:row r="122">
      <x:c r="B122" s="12"/>
      <x:c r="C122" s="12"/>
      <x:c r="D122" s="12"/>
      <x:c r="E122" s="12"/>
      <x:c r="F122" s="12"/>
      <x:c r="G122" s="12"/>
      <x:c r="H122" s="12"/>
    </x:row>
    <x:row r="123">
      <x:c r="B123" s="12"/>
      <x:c r="C123" s="12"/>
      <x:c r="D123" s="12"/>
      <x:c r="E123" s="12"/>
      <x:c r="F123" s="12"/>
      <x:c r="G123" s="12"/>
      <x:c r="H123" s="12"/>
    </x:row>
    <x:row r="124">
      <x:c r="B124" s="12"/>
      <x:c r="C124" s="12"/>
      <x:c r="D124" s="12"/>
      <x:c r="E124" s="12"/>
      <x:c r="F124" s="12"/>
      <x:c r="G124" s="12"/>
      <x:c r="H124" s="12"/>
    </x:row>
    <x:row r="125">
      <x:c r="B125" s="12"/>
      <x:c r="C125" s="12"/>
      <x:c r="D125" s="12"/>
      <x:c r="E125" s="12"/>
      <x:c r="F125" s="12"/>
      <x:c r="G125" s="12"/>
      <x:c r="H125" s="12"/>
    </x:row>
  </x:sheetData>
  <x:mergeCells>
    <x:mergeCell ref="A1:J2"/>
    <x:mergeCell ref="A3:J3"/>
    <x:mergeCell ref="A25:J2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51" hidden="0" customWidth="1"/>
    <x:col min="10" max="10" width="70" hidden="0" customWidth="1"/>
  </x:cols>
  <x:sheetData>
    <x:row r="1" ht="23" customHeight="1">
      <x:c r="A1" s="74" t="str">
        <x:v>SMSM | Enterprise-to-Common-Equity Bridge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23" customHeight="1">
      <x:c r="A2" s="74"/>
      <x:c r="B2" s="74"/>
      <x:c r="C2" s="74"/>
      <x:c r="D2" s="74"/>
      <x:c r="E2" s="74"/>
      <x:c r="F2" s="74"/>
      <x:c r="G2" s="74"/>
      <x:c r="H2" s="74"/>
      <x:c r="I2" s="74"/>
      <x:c r="J2" s="74"/>
    </x:row>
    <x:row r="3" ht="25" customHeight="1">
      <x:c r="A3" s="75" t="str">
        <x:v>Framework only • deliberately NO forecast, enterprise value, DCF estimate or final per-share value</x:v>
      </x:c>
      <x:c r="B3" s="75"/>
      <x:c r="C3" s="75"/>
      <x:c r="D3" s="75"/>
      <x:c r="E3" s="75"/>
      <x:c r="F3" s="75"/>
      <x:c r="G3" s="75"/>
      <x:c r="H3" s="75"/>
      <x:c r="I3" s="75"/>
      <x:c r="J3" s="75"/>
    </x:row>
    <x:row r="5">
      <x:c r="B5" s="12"/>
      <x:c r="C5" s="12"/>
      <x:c r="D5" s="12"/>
      <x:c r="E5" s="12"/>
      <x:c r="F5" s="12"/>
      <x:c r="G5" s="12"/>
      <x:c r="H5" s="12"/>
    </x:row>
    <x:row r="6" ht="23" customHeight="1">
      <x:c r="A6" s="46" t="str">
        <x:v>DEFINITIONS &amp; ACCOUNTING CLAIMS (NOT A VALUATION)</x:v>
      </x:c>
      <x:c r="B6" s="60" t="str">
        <x:v>FY2025 carrying</x:v>
      </x:c>
      <x:c r="C6" s="60" t="str">
        <x:v>H1 2026 carrying</x:v>
      </x:c>
      <x:c r="D6" s="60" t="str">
        <x:v>Value basis</x:v>
      </x:c>
      <x:c r="E6" s="60" t="str">
        <x:v>Policy / condition</x:v>
      </x:c>
      <x:c r="F6" s="60" t="str">
        <x:v>Provisional multiplier</x:v>
      </x:c>
      <x:c r="G6" s="60" t="str">
        <x:v>Optional economic value</x:v>
      </x:c>
      <x:c r="H6" s="60" t="str">
        <x:v>Status</x:v>
      </x:c>
      <x:c r="I6" s="46" t="str">
        <x:v>Source</x:v>
      </x:c>
      <x:c r="J6" s="46" t="str">
        <x:v>Double-counting protection</x:v>
      </x:c>
    </x:row>
    <x:row r="7">
      <x:c r="A7" s="50"/>
      <x:c r="B7" s="12"/>
      <x:c r="C7" s="12"/>
      <x:c r="D7" s="12"/>
      <x:c r="E7" s="12"/>
      <x:c r="F7" s="20"/>
      <x:c r="G7" s="20"/>
      <x:c r="H7" s="20"/>
    </x:row>
    <x:row r="8">
      <x:c r="A8" s="50" t="str">
        <x:v>Enterprise value from future valuation engine</x:v>
      </x:c>
      <x:c r="B8" s="12"/>
      <x:c r="C8" s="12"/>
      <x:c r="D8" s="12" t="str">
        <x:v>Not yet available</x:v>
      </x:c>
      <x:c r="E8" s="12" t="str">
        <x:v>Do not populate Stage 2B</x:v>
      </x:c>
      <x:c r="F8" s="20"/>
      <x:c r="G8" s="20"/>
      <x:c r="H8" s="20" t="str">
        <x:v>U</x:v>
      </x:c>
      <x:c r="I8" t="str">
        <x:v>SMSM 2025 audited / H1 2026 interim</x:v>
      </x:c>
    </x:row>
    <x:row r="9">
      <x:c r="A9" s="50"/>
      <x:c r="B9" s="12"/>
      <x:c r="C9" s="12"/>
      <x:c r="D9" s="12"/>
      <x:c r="E9" s="12"/>
      <x:c r="F9" s="20"/>
      <x:c r="G9" s="20"/>
      <x:c r="H9" s="20"/>
    </x:row>
    <x:row r="10">
      <x:c r="A10" s="50" t="str">
        <x:v>Less: bank borrowings</x:v>
      </x:c>
      <x:c r="B10" s="44" t="n">
        <x:f>'06 Capital Structure'!D26</x:f>
        <x:v>97368</x:v>
      </x:c>
      <x:c r="C10" s="44" t="n">
        <x:f>'06 Capital Structure'!E26</x:f>
        <x:v>95046</x:v>
      </x:c>
      <x:c r="D10" s="12" t="str">
        <x:v>Book proxy</x:v>
      </x:c>
      <x:c r="E10" s="12" t="str">
        <x:v>Use DCF-date bank carrying debt; update market value if material</x:v>
      </x:c>
      <x:c r="F10" s="68" t="n">
        <x:v>1</x:v>
      </x:c>
      <x:c r="G10" s="69" t="n">
        <x:f>IF(OR(C10="",F10=""),"",C10*F10)</x:f>
        <x:v>95046</x:v>
      </x:c>
      <x:c r="H10" s="20" t="str">
        <x:v>Closed w assumption</x:v>
      </x:c>
      <x:c r="I10" t="str">
        <x:v>SMSM 2025 audited / H1 2026 interim</x:v>
      </x:c>
      <x:c r="J10" t="str">
        <x:v>Do not deduct total liabilities as bank debt</x:v>
      </x:c>
    </x:row>
    <x:row r="11">
      <x:c r="A11" s="50" t="str">
        <x:v>Less: recognized lease liabilities</x:v>
      </x:c>
      <x:c r="B11" s="44" t="n">
        <x:f>'06 Capital Structure'!D27</x:f>
        <x:v>75616</x:v>
      </x:c>
      <x:c r="C11" s="44" t="n">
        <x:f>'06 Capital Structure'!E27</x:f>
        <x:v>67029</x:v>
      </x:c>
      <x:c r="D11" s="12" t="str">
        <x:v>Book proxy</x:v>
      </x:c>
      <x:c r="E11" s="12" t="str">
        <x:v>Lease capitalized in FCFF/WACC and EV consistently</x:v>
      </x:c>
      <x:c r="F11" s="68" t="n">
        <x:v>1</x:v>
      </x:c>
      <x:c r="G11" s="69" t="n">
        <x:f>IF(OR(C11="",F11=""),"",C11*F11)</x:f>
        <x:v>67029</x:v>
      </x:c>
      <x:c r="H11" s="20" t="str">
        <x:v>Closed w assumption</x:v>
      </x:c>
      <x:c r="I11" t="str">
        <x:v>SMSM 2025 audited / H1 2026 interim</x:v>
      </x:c>
      <x:c r="J11" t="str">
        <x:v>Do not deduct lease principal a second time as CapEx</x:v>
      </x:c>
    </x:row>
    <x:row r="12">
      <x:c r="A12" s="50" t="str">
        <x:v>Less: NCI claim</x:v>
      </x:c>
      <x:c r="B12" s="44" t="n">
        <x:f>'06 Capital Structure'!D14</x:f>
        <x:v>498406</x:v>
      </x:c>
      <x:c r="C12" s="44" t="n">
        <x:f>'06 Capital Structure'!E14</x:f>
        <x:v>519060</x:v>
      </x:c>
      <x:c r="D12" s="12" t="str">
        <x:v>Book benchmark</x:v>
      </x:c>
      <x:c r="E12" s="12" t="str">
        <x:v>Book as neutral proxy; apply sensitivity range Stage 3</x:v>
      </x:c>
      <x:c r="F12" s="68" t="n">
        <x:v>1</x:v>
      </x:c>
      <x:c r="G12" s="69" t="n">
        <x:f>IF(OR(C12="",F12=""),"",C12*F12)</x:f>
        <x:v>519060</x:v>
      </x:c>
      <x:c r="H12" s="20" t="str">
        <x:v>Closed w assumption</x:v>
      </x:c>
      <x:c r="I12" t="str">
        <x:v>SMSM 2025 audited / H1 2026 interim</x:v>
      </x:c>
      <x:c r="J12" t="str">
        <x:v>Consolidated FCFF includes minority-owned subsidiary activity</x:v>
      </x:c>
    </x:row>
    <x:row r="13">
      <x:c r="A13" s="50" t="str">
        <x:v>Add: equity-accounted associate investments</x:v>
      </x:c>
      <x:c r="B13" s="44" t="n">
        <x:f>'06 Capital Structure'!D15</x:f>
        <x:v>46398</x:v>
      </x:c>
      <x:c r="C13" s="44" t="n">
        <x:f>'06 Capital Structure'!E15</x:f>
        <x:v>48397</x:v>
      </x:c>
      <x:c r="D13" s="12" t="str">
        <x:v>Book benchmark</x:v>
      </x:c>
      <x:c r="E13" s="12" t="str">
        <x:v>Outside consolidated EBIT; avoid including associate profits in FCFF</x:v>
      </x:c>
      <x:c r="F13" s="68" t="n">
        <x:v>1</x:v>
      </x:c>
      <x:c r="G13" s="69" t="n">
        <x:f>IF(OR(C13="",F13=""),"",C13*F13)</x:f>
        <x:v>48397</x:v>
      </x:c>
      <x:c r="H13" s="20" t="str">
        <x:v>Closed w assumption</x:v>
      </x:c>
      <x:c r="I13" t="str">
        <x:v>SMSM 2025 audited / H1 2026 interim</x:v>
      </x:c>
      <x:c r="J13" t="str">
        <x:v>Value associate separately; not within consolidated EBIT</x:v>
      </x:c>
    </x:row>
    <x:row r="14">
      <x:c r="A14" s="50" t="str">
        <x:v>Add: other non-operating share investments</x:v>
      </x:c>
      <x:c r="B14" s="44" t="n">
        <x:f>'06 Capital Structure'!D16</x:f>
        <x:v>28471</x:v>
      </x:c>
      <x:c r="C14" s="44" t="n">
        <x:f>'06 Capital Structure'!E16</x:f>
        <x:v>31031</x:v>
      </x:c>
      <x:c r="D14" s="12" t="str">
        <x:v>Conditional book proxy</x:v>
      </x:c>
      <x:c r="E14" s="12" t="str">
        <x:v>Add only to extent not in operating cash flows</x:v>
      </x:c>
      <x:c r="F14" s="68" t="n">
        <x:v>1</x:v>
      </x:c>
      <x:c r="G14" s="69" t="n">
        <x:f>IF(OR(C14="",F14=""),"",C14*F14)</x:f>
        <x:v>31031</x:v>
      </x:c>
      <x:c r="H14" s="20" t="str">
        <x:v>Open</x:v>
      </x:c>
      <x:c r="I14" t="str">
        <x:v>SMSM 2025 audited / H1 2026 interim</x:v>
      </x:c>
    </x:row>
    <x:row r="15">
      <x:c r="A15" s="50" t="str">
        <x:v>Add: excess cash and unrestricted time deposits</x:v>
      </x:c>
      <x:c r="B15" s="44" t="n">
        <x:f>'06 Capital Structure'!D7</x:f>
        <x:v>1080091</x:v>
      </x:c>
      <x:c r="C15" s="44" t="n">
        <x:f>'06 Capital Structure'!E7</x:f>
        <x:v>1239077</x:v>
      </x:c>
      <x:c r="D15" s="12" t="str">
        <x:v>Operating liquidity policy</x:v>
      </x:c>
      <x:c r="E15" s="12" t="str">
        <x:v>Requires minimum operating cash assumption and restrictions analysis</x:v>
      </x:c>
      <x:c r="F15" s="20"/>
      <x:c r="G15" s="20"/>
      <x:c r="H15" s="20" t="str">
        <x:v>Open</x:v>
      </x:c>
      <x:c r="I15" t="str">
        <x:v>SMSM 2025 audited / H1 2026 interim</x:v>
      </x:c>
    </x:row>
    <x:row r="16">
      <x:c r="A16" s="50" t="str">
        <x:v>Add: remaining investment property</x:v>
      </x:c>
      <x:c r="B16" s="44" t="n">
        <x:f>'06 Capital Structure'!D17</x:f>
        <x:v>62955</x:v>
      </x:c>
      <x:c r="C16" s="44" t="n">
        <x:f>'06 Capital Structure'!E17</x:f>
        <x:v>0</x:v>
      </x:c>
      <x:c r="D16" s="12" t="str">
        <x:v>Historic book only</x:v>
      </x:c>
      <x:c r="E16" s="12" t="str">
        <x:v>0 at June 2026; cash received on disposal is already included in cash</x:v>
      </x:c>
      <x:c r="F16" s="68" t="n">
        <x:v>1</x:v>
      </x:c>
      <x:c r="G16" s="69" t="str">
        <x:f>IF(OR(C16="",F16=""),"",C16*F16)</x:f>
      </x:c>
      <x:c r="H16" s="20" t="str">
        <x:v>Closed</x:v>
      </x:c>
      <x:c r="I16" t="str">
        <x:v>SMSM 2025 audited / H1 2026 interim</x:v>
      </x:c>
      <x:c r="J16" t="str">
        <x:v>Investment property was sold in H1 2026; nil carrying value</x:v>
      </x:c>
    </x:row>
    <x:row r="17">
      <x:c r="A17" s="50" t="str">
        <x:v>Less/add: derivative hedges</x:v>
      </x:c>
      <x:c r="B17" s="44" t="n">
        <x:f>'06 Capital Structure'!D18</x:f>
        <x:v>2255</x:v>
      </x:c>
      <x:c r="C17" s="44" t="n">
        <x:f>'06 Capital Structure'!E18</x:f>
        <x:v>46366</x:v>
      </x:c>
      <x:c r="D17" s="12" t="str">
        <x:v>Conditional claim</x:v>
      </x:c>
      <x:c r="E17" s="12" t="str">
        <x:v>Only if omitted from projected operating FX outcomes</x:v>
      </x:c>
      <x:c r="F17" s="20"/>
      <x:c r="G17" s="20"/>
      <x:c r="H17" s="20" t="str">
        <x:v>Open</x:v>
      </x:c>
      <x:c r="I17" t="str">
        <x:v>SMSM 2025 audited / H1 2026 interim</x:v>
      </x:c>
      <x:c r="J17" t="str">
        <x:v>Hedge fair value could be captured in cash flows; require consistency</x:v>
      </x:c>
    </x:row>
    <x:row r="18">
      <x:c r="A18" s="50" t="str">
        <x:v>Less: unpaid dividends</x:v>
      </x:c>
      <x:c r="B18" s="44" t="n">
        <x:f>'06 Capital Structure'!D19</x:f>
        <x:v>0</x:v>
      </x:c>
      <x:c r="C18" s="44" t="n">
        <x:f>'06 Capital Structure'!E19</x:f>
        <x:v>219774</x:v>
      </x:c>
      <x:c r="D18" s="12" t="str">
        <x:v>As-of balance</x:v>
      </x:c>
      <x:c r="E18" s="12" t="str">
        <x:v>Only if not already reflected by price/date/cash</x:v>
      </x:c>
      <x:c r="F18" s="20"/>
      <x:c r="G18" s="20"/>
      <x:c r="H18" s="20" t="str">
        <x:v>Closed with documented assumption: June payable already settled by 23 Oct per dividend calendar</x:v>
      </x:c>
      <x:c r="I18" t="str">
        <x:v>SMSM 2025 audited / H1 2026 interim</x:v>
      </x:c>
      <x:c r="J18" t="str">
        <x:v>Company IR calendar: 2025 final paid 2 Jul; 2026 second interim paid 27 Aug. Do not subtract June payable again on October ex-dividend basis.</x:v>
      </x:c>
    </x:row>
    <x:row r="19">
      <x:c r="A19" s="50" t="str">
        <x:v>Other non-equity claims / benefit obligations</x:v>
      </x:c>
      <x:c r="B19" s="12"/>
      <x:c r="C19" s="12"/>
      <x:c r="D19" s="12" t="str">
        <x:v>Potential claim</x:v>
      </x:c>
      <x:c r="E19" s="12" t="str">
        <x:v>Do not count operating provisions twice</x:v>
      </x:c>
      <x:c r="F19" s="20"/>
      <x:c r="G19" s="20"/>
      <x:c r="H19" s="20" t="str">
        <x:v>Open</x:v>
      </x:c>
      <x:c r="I19" t="str">
        <x:v>SMSM 2025 audited / H1 2026 interim</x:v>
      </x:c>
    </x:row>
    <x:row r="20">
      <x:c r="A20" s="50"/>
      <x:c r="B20" s="12"/>
      <x:c r="C20" s="12"/>
      <x:c r="D20" s="12"/>
      <x:c r="E20" s="12"/>
      <x:c r="F20" s="20"/>
      <x:c r="G20" s="20"/>
      <x:c r="H20" s="20"/>
    </x:row>
    <x:row r="21">
      <x:c r="A21" s="50" t="str">
        <x:v>Equity value attributable to parent</x:v>
      </x:c>
      <x:c r="B21" s="12"/>
      <x:c r="C21" s="12"/>
      <x:c r="D21" s="12" t="str">
        <x:v>Output later</x:v>
      </x:c>
      <x:c r="E21" s="12" t="str">
        <x:v>NOT COMPUTED — enterprise value absent</x:v>
      </x:c>
      <x:c r="F21" s="20"/>
      <x:c r="G21" s="20"/>
      <x:c r="H21" s="20" t="str">
        <x:v>N/A</x:v>
      </x:c>
      <x:c r="I21" t="str">
        <x:v>SMSM 2025 audited / H1 2026 interim</x:v>
      </x:c>
    </x:row>
    <x:row r="22">
      <x:c r="A22" s="50" t="str">
        <x:v>Shares economically outstanding</x:v>
      </x:c>
      <x:c r="B22" s="12"/>
      <x:c r="C22" s="12"/>
      <x:c r="D22" s="12" t="str">
        <x:v>Outstanding/diluted</x:v>
      </x:c>
      <x:c r="E22" s="12" t="str">
        <x:v>Use contemporaneous KSEI records or documented proxy</x:v>
      </x:c>
      <x:c r="F22" s="20"/>
      <x:c r="G22" s="20"/>
      <x:c r="H22" s="20" t="str">
        <x:v>Open</x:v>
      </x:c>
      <x:c r="I22" t="str">
        <x:v>SMSM 2025 audited / H1 2026 interim</x:v>
      </x:c>
    </x:row>
    <x:row r="23">
      <x:c r="A23" s="50" t="str">
        <x:v>Indicative fair value per share</x:v>
      </x:c>
      <x:c r="B23" s="12"/>
      <x:c r="C23" s="12"/>
      <x:c r="D23" s="12" t="str">
        <x:v>Output later</x:v>
      </x:c>
      <x:c r="E23" s="12" t="str">
        <x:v>NOT COMPUTED</x:v>
      </x:c>
      <x:c r="F23" s="20"/>
      <x:c r="G23" s="20"/>
      <x:c r="H23" s="20" t="str">
        <x:v>N/A</x:v>
      </x:c>
      <x:c r="I23" t="str">
        <x:v>SMSM 2025 audited / H1 2026 interim</x:v>
      </x:c>
    </x:row>
    <x:row r="24">
      <x:c r="A24" s="50"/>
      <x:c r="B24" s="12"/>
      <x:c r="C24" s="12"/>
      <x:c r="D24" s="12"/>
      <x:c r="E24" s="12"/>
      <x:c r="F24" s="20"/>
      <x:c r="G24" s="20"/>
      <x:c r="H24" s="20"/>
    </x:row>
    <x:row r="25">
      <x:c r="A25" s="50"/>
      <x:c r="B25" s="12"/>
      <x:c r="C25" s="12"/>
      <x:c r="D25" s="12"/>
      <x:c r="E25" s="12"/>
      <x:c r="F25" s="20"/>
      <x:c r="G25" s="20"/>
      <x:c r="H25" s="20"/>
    </x:row>
    <x:row r="26" ht="32" customHeight="1">
      <x:c r="A26" s="56" t="str">
        <x:v>An initial 1.00x carrying-value benchmark for NCI/associate is a DOCUMENTED PROXY, never a verified economic fair value.</x:v>
      </x:c>
      <x:c r="B26" s="20"/>
      <x:c r="C26" s="20"/>
      <x:c r="D26" s="20"/>
      <x:c r="E26" s="20"/>
      <x:c r="F26" s="20"/>
      <x:c r="G26" s="20"/>
      <x:c r="H26" s="20"/>
      <x:c r="I26" s="21"/>
      <x:c r="J26" s="21"/>
    </x:row>
    <x:row r="27" ht="32" customHeight="1">
      <x:c r="A27" s="56" t="str">
        <x:v>This framework intentionally does not calculate equity or per-share value. It is an architecture/control and not a valuation output.</x:v>
      </x:c>
      <x:c r="B27" s="20"/>
      <x:c r="C27" s="20"/>
      <x:c r="D27" s="20"/>
      <x:c r="E27" s="20"/>
      <x:c r="F27" s="20"/>
      <x:c r="G27" s="20"/>
      <x:c r="H27" s="20"/>
      <x:c r="I27" s="21"/>
      <x:c r="J27" s="21"/>
    </x:row>
    <x:row r="28">
      <x:c r="A28" s="50"/>
      <x:c r="B28" s="12"/>
      <x:c r="C28" s="12"/>
      <x:c r="D28" s="12"/>
      <x:c r="E28" s="12"/>
      <x:c r="F28" s="20"/>
      <x:c r="G28" s="20"/>
      <x:c r="H28" s="20"/>
    </x:row>
    <x:row r="29">
      <x:c r="A29" s="50"/>
      <x:c r="B29" s="12"/>
      <x:c r="C29" s="12"/>
      <x:c r="D29" s="12"/>
      <x:c r="E29" s="12"/>
      <x:c r="F29" s="20"/>
      <x:c r="G29" s="20"/>
      <x:c r="H29" s="20"/>
    </x:row>
    <x:row r="30">
      <x:c r="A30" s="50"/>
      <x:c r="B30" s="12"/>
      <x:c r="C30" s="12"/>
      <x:c r="D30" s="12"/>
      <x:c r="E30" s="12"/>
      <x:c r="F30" s="20"/>
      <x:c r="G30" s="20"/>
      <x:c r="H30" s="20"/>
    </x:row>
    <x:row r="31">
      <x:c r="A31" s="50"/>
      <x:c r="B31" s="12"/>
      <x:c r="C31" s="12"/>
      <x:c r="D31" s="12"/>
      <x:c r="E31" s="12"/>
      <x:c r="F31" s="20"/>
      <x:c r="G31" s="20"/>
      <x:c r="H31" s="20"/>
    </x:row>
    <x:row r="32">
      <x:c r="A32" s="50"/>
      <x:c r="B32" s="12"/>
      <x:c r="C32" s="12"/>
      <x:c r="D32" s="12"/>
      <x:c r="E32" s="12"/>
      <x:c r="F32" s="20"/>
      <x:c r="G32" s="20"/>
      <x:c r="H32" s="20"/>
    </x:row>
    <x:row r="33">
      <x:c r="A33" s="50"/>
      <x:c r="B33" s="12"/>
      <x:c r="C33" s="12"/>
      <x:c r="D33" s="12"/>
      <x:c r="E33" s="12"/>
      <x:c r="F33" s="20"/>
      <x:c r="G33" s="20"/>
      <x:c r="H33" s="20"/>
    </x:row>
    <x:row r="34">
      <x:c r="A34" s="50"/>
      <x:c r="B34" s="12"/>
      <x:c r="C34" s="12"/>
      <x:c r="D34" s="12"/>
      <x:c r="E34" s="12"/>
      <x:c r="F34" s="20"/>
      <x:c r="G34" s="20"/>
      <x:c r="H34" s="20"/>
    </x:row>
    <x:row r="35">
      <x:c r="A35" s="50"/>
      <x:c r="B35" s="12"/>
      <x:c r="C35" s="12"/>
      <x:c r="D35" s="12"/>
      <x:c r="E35" s="12"/>
      <x:c r="F35" s="20"/>
      <x:c r="G35" s="20"/>
      <x:c r="H35" s="20"/>
    </x:row>
    <x:row r="36">
      <x:c r="A36" s="50"/>
      <x:c r="B36" s="12"/>
      <x:c r="C36" s="12"/>
      <x:c r="D36" s="12"/>
      <x:c r="E36" s="12"/>
      <x:c r="F36" s="12"/>
      <x:c r="G36" s="20"/>
      <x:c r="H36" s="20"/>
    </x:row>
    <x:row r="37">
      <x:c r="A37" s="50"/>
      <x:c r="B37" s="12"/>
      <x:c r="C37" s="12"/>
      <x:c r="D37" s="12"/>
      <x:c r="E37" s="12"/>
      <x:c r="F37" s="12"/>
      <x:c r="G37" s="20"/>
      <x:c r="H37" s="20"/>
    </x:row>
    <x:row r="38">
      <x:c r="A38" s="50"/>
      <x:c r="B38" s="12"/>
      <x:c r="C38" s="12"/>
      <x:c r="D38" s="12"/>
      <x:c r="E38" s="12"/>
      <x:c r="F38" s="12"/>
      <x:c r="G38" s="20"/>
      <x:c r="H38" s="20"/>
    </x:row>
    <x:row r="39">
      <x:c r="A39" s="50"/>
      <x:c r="B39" s="12"/>
      <x:c r="C39" s="12"/>
      <x:c r="D39" s="12"/>
      <x:c r="E39" s="12"/>
      <x:c r="F39" s="12"/>
      <x:c r="G39" s="20"/>
      <x:c r="H39" s="20"/>
    </x:row>
    <x:row r="40">
      <x:c r="A40" s="50"/>
      <x:c r="B40" s="12"/>
      <x:c r="C40" s="12"/>
      <x:c r="D40" s="12"/>
      <x:c r="E40" s="12"/>
      <x:c r="F40" s="12"/>
      <x:c r="G40" s="20"/>
      <x:c r="H40" s="20"/>
    </x:row>
    <x:row r="41">
      <x:c r="A41" s="50"/>
      <x:c r="B41" s="12"/>
      <x:c r="C41" s="12"/>
      <x:c r="D41" s="12"/>
      <x:c r="E41" s="12"/>
      <x:c r="F41" s="12"/>
      <x:c r="G41" s="12"/>
      <x:c r="H41" s="12"/>
    </x:row>
    <x:row r="42">
      <x:c r="A42" s="50"/>
      <x:c r="B42" s="12"/>
      <x:c r="C42" s="12"/>
      <x:c r="D42" s="12"/>
      <x:c r="E42" s="12"/>
      <x:c r="F42" s="12"/>
      <x:c r="G42" s="12"/>
      <x:c r="H42" s="12"/>
    </x:row>
    <x:row r="43">
      <x:c r="A43" s="50"/>
      <x:c r="B43" s="12"/>
      <x:c r="C43" s="12"/>
      <x:c r="D43" s="12"/>
      <x:c r="E43" s="12"/>
      <x:c r="F43" s="12"/>
      <x:c r="G43" s="12"/>
      <x:c r="H43" s="12"/>
    </x:row>
    <x:row r="44">
      <x:c r="A44" s="50"/>
      <x:c r="B44" s="12"/>
      <x:c r="C44" s="12"/>
      <x:c r="D44" s="12"/>
      <x:c r="E44" s="12"/>
      <x:c r="F44" s="12"/>
      <x:c r="G44" s="12"/>
      <x:c r="H44" s="12"/>
    </x:row>
    <x:row r="45">
      <x:c r="A45" s="50"/>
      <x:c r="B45" s="12"/>
      <x:c r="C45" s="12"/>
      <x:c r="D45" s="12"/>
      <x:c r="E45" s="12"/>
      <x:c r="F45" s="12"/>
      <x:c r="G45" s="12"/>
      <x:c r="H45" s="12"/>
    </x:row>
    <x:row r="46">
      <x:c r="A46" s="50"/>
      <x:c r="B46" s="12"/>
      <x:c r="C46" s="12"/>
      <x:c r="D46" s="12"/>
      <x:c r="E46" s="12"/>
      <x:c r="F46" s="12"/>
      <x:c r="G46" s="12"/>
      <x:c r="H46" s="12"/>
    </x:row>
    <x:row r="47">
      <x:c r="A47" s="50"/>
      <x:c r="B47" s="12"/>
      <x:c r="C47" s="12"/>
      <x:c r="D47" s="12"/>
      <x:c r="E47" s="12"/>
      <x:c r="F47" s="12"/>
      <x:c r="G47" s="12"/>
      <x:c r="H47" s="12"/>
    </x:row>
    <x:row r="48">
      <x:c r="A48" s="50"/>
      <x:c r="B48" s="12"/>
      <x:c r="C48" s="12"/>
      <x:c r="D48" s="12"/>
      <x:c r="E48" s="12"/>
      <x:c r="F48" s="12"/>
      <x:c r="G48" s="12"/>
      <x:c r="H48" s="12"/>
    </x:row>
    <x:row r="49">
      <x:c r="A49" s="50"/>
      <x:c r="B49" s="12"/>
      <x:c r="C49" s="12"/>
      <x:c r="D49" s="12"/>
      <x:c r="E49" s="12"/>
      <x:c r="F49" s="12"/>
      <x:c r="G49" s="12"/>
      <x:c r="H49" s="12"/>
    </x:row>
    <x:row r="50">
      <x:c r="A50" s="50"/>
      <x:c r="B50" s="12"/>
      <x:c r="C50" s="12"/>
      <x:c r="D50" s="12"/>
      <x:c r="E50" s="12"/>
      <x:c r="F50" s="12"/>
      <x:c r="G50" s="12"/>
      <x:c r="H50" s="12"/>
    </x:row>
    <x:row r="51">
      <x:c r="A51" s="50"/>
      <x:c r="B51" s="12"/>
      <x:c r="C51" s="12"/>
      <x:c r="D51" s="12"/>
      <x:c r="E51" s="12"/>
      <x:c r="F51" s="12"/>
      <x:c r="G51" s="12"/>
      <x:c r="H51" s="12"/>
    </x:row>
    <x:row r="52">
      <x:c r="A52" s="50"/>
      <x:c r="B52" s="12"/>
      <x:c r="C52" s="12"/>
      <x:c r="D52" s="12"/>
      <x:c r="E52" s="12"/>
      <x:c r="F52" s="12"/>
      <x:c r="G52" s="12"/>
      <x:c r="H52" s="12"/>
    </x:row>
    <x:row r="53">
      <x:c r="A53" s="50"/>
      <x:c r="B53" s="12"/>
      <x:c r="C53" s="12"/>
      <x:c r="D53" s="12"/>
      <x:c r="E53" s="12"/>
      <x:c r="F53" s="12"/>
      <x:c r="G53" s="12"/>
      <x:c r="H53" s="12"/>
    </x:row>
    <x:row r="54">
      <x:c r="A54" s="50"/>
      <x:c r="B54" s="12"/>
      <x:c r="C54" s="12"/>
      <x:c r="D54" s="12"/>
      <x:c r="E54" s="12"/>
      <x:c r="F54" s="12"/>
      <x:c r="G54" s="12"/>
      <x:c r="H54" s="12"/>
    </x:row>
    <x:row r="55">
      <x:c r="A55" s="50"/>
      <x:c r="B55" s="12"/>
      <x:c r="C55" s="12"/>
      <x:c r="D55" s="12"/>
      <x:c r="E55" s="12"/>
      <x:c r="F55" s="12"/>
      <x:c r="G55" s="12"/>
      <x:c r="H55" s="12"/>
    </x:row>
    <x:row r="56">
      <x:c r="A56" s="50"/>
      <x:c r="B56" s="12"/>
      <x:c r="C56" s="12"/>
      <x:c r="D56" s="12"/>
      <x:c r="E56" s="12"/>
      <x:c r="F56" s="12"/>
      <x:c r="G56" s="12"/>
      <x:c r="H56" s="12"/>
    </x:row>
    <x:row r="57">
      <x:c r="A57" s="50"/>
      <x:c r="B57" s="12"/>
      <x:c r="C57" s="12"/>
      <x:c r="D57" s="12"/>
      <x:c r="E57" s="12"/>
      <x:c r="F57" s="12"/>
      <x:c r="G57" s="12"/>
      <x:c r="H57" s="12"/>
    </x:row>
    <x:row r="58">
      <x:c r="A58" s="50"/>
      <x:c r="B58" s="12"/>
      <x:c r="C58" s="12"/>
      <x:c r="D58" s="12"/>
      <x:c r="E58" s="12"/>
      <x:c r="F58" s="12"/>
      <x:c r="G58" s="12"/>
      <x:c r="H58" s="12"/>
    </x:row>
    <x:row r="59">
      <x:c r="A59" s="50"/>
      <x:c r="B59" s="12"/>
      <x:c r="C59" s="12"/>
      <x:c r="D59" s="12"/>
      <x:c r="E59" s="12"/>
      <x:c r="F59" s="12"/>
      <x:c r="G59" s="12"/>
      <x:c r="H59" s="12"/>
    </x:row>
    <x:row r="60">
      <x:c r="A60" s="50"/>
      <x:c r="B60" s="12"/>
      <x:c r="C60" s="12"/>
      <x:c r="D60" s="12"/>
      <x:c r="E60" s="12"/>
      <x:c r="F60" s="12"/>
      <x:c r="G60" s="12"/>
      <x:c r="H60" s="12"/>
    </x:row>
    <x:row r="61">
      <x:c r="B61" s="12"/>
      <x:c r="C61" s="12"/>
      <x:c r="D61" s="12"/>
      <x:c r="E61" s="12"/>
      <x:c r="F61" s="12"/>
      <x:c r="G61" s="12"/>
      <x:c r="H61" s="12"/>
    </x:row>
    <x:row r="62">
      <x:c r="B62" s="12"/>
      <x:c r="C62" s="12"/>
      <x:c r="D62" s="12"/>
      <x:c r="E62" s="12"/>
      <x:c r="F62" s="12"/>
      <x:c r="G62" s="12"/>
      <x:c r="H62" s="12"/>
    </x:row>
    <x:row r="63">
      <x:c r="B63" s="12"/>
      <x:c r="C63" s="12"/>
      <x:c r="D63" s="12"/>
      <x:c r="E63" s="12"/>
      <x:c r="F63" s="12"/>
      <x:c r="G63" s="12"/>
      <x:c r="H63" s="12"/>
    </x:row>
    <x:row r="64">
      <x:c r="B64" s="12"/>
      <x:c r="C64" s="12"/>
      <x:c r="D64" s="12"/>
      <x:c r="E64" s="12"/>
      <x:c r="F64" s="12"/>
      <x:c r="G64" s="12"/>
      <x:c r="H64" s="12"/>
    </x:row>
    <x:row r="65">
      <x:c r="B65" s="12"/>
      <x:c r="C65" s="12"/>
      <x:c r="D65" s="12"/>
      <x:c r="E65" s="12"/>
      <x:c r="F65" s="12"/>
      <x:c r="G65" s="12"/>
      <x:c r="H65" s="12"/>
    </x:row>
    <x:row r="66">
      <x:c r="B66" s="12"/>
      <x:c r="C66" s="12"/>
      <x:c r="D66" s="12"/>
      <x:c r="E66" s="12"/>
      <x:c r="F66" s="12"/>
      <x:c r="G66" s="12"/>
      <x:c r="H66" s="12"/>
    </x:row>
    <x:row r="67">
      <x:c r="B67" s="12"/>
      <x:c r="C67" s="12"/>
      <x:c r="D67" s="12"/>
      <x:c r="E67" s="12"/>
      <x:c r="F67" s="12"/>
      <x:c r="G67" s="12"/>
      <x:c r="H67" s="12"/>
    </x:row>
    <x:row r="68">
      <x:c r="B68" s="12"/>
      <x:c r="C68" s="12"/>
      <x:c r="D68" s="12"/>
      <x:c r="E68" s="12"/>
      <x:c r="F68" s="12"/>
      <x:c r="G68" s="12"/>
      <x:c r="H68" s="12"/>
    </x:row>
    <x:row r="69">
      <x:c r="B69" s="12"/>
      <x:c r="C69" s="12"/>
      <x:c r="D69" s="12"/>
      <x:c r="E69" s="12"/>
      <x:c r="F69" s="12"/>
      <x:c r="G69" s="12"/>
      <x:c r="H69" s="12"/>
    </x:row>
    <x:row r="70">
      <x:c r="B70" s="12"/>
      <x:c r="C70" s="12"/>
      <x:c r="D70" s="12"/>
      <x:c r="E70" s="12"/>
      <x:c r="F70" s="12"/>
      <x:c r="G70" s="12"/>
      <x:c r="H70" s="12"/>
    </x:row>
    <x:row r="71">
      <x:c r="B71" s="12"/>
      <x:c r="C71" s="12"/>
      <x:c r="D71" s="12"/>
      <x:c r="E71" s="12"/>
      <x:c r="F71" s="12"/>
      <x:c r="G71" s="12"/>
      <x:c r="H71" s="12"/>
    </x:row>
    <x:row r="72">
      <x:c r="B72" s="12"/>
      <x:c r="C72" s="12"/>
      <x:c r="D72" s="12"/>
      <x:c r="E72" s="12"/>
      <x:c r="F72" s="12"/>
      <x:c r="G72" s="12"/>
      <x:c r="H72" s="12"/>
    </x:row>
    <x:row r="73">
      <x:c r="B73" s="12"/>
      <x:c r="C73" s="12"/>
      <x:c r="D73" s="12"/>
      <x:c r="E73" s="12"/>
      <x:c r="F73" s="12"/>
      <x:c r="G73" s="12"/>
      <x:c r="H73" s="12"/>
    </x:row>
    <x:row r="74">
      <x:c r="B74" s="12"/>
      <x:c r="C74" s="12"/>
      <x:c r="D74" s="12"/>
      <x:c r="E74" s="12"/>
      <x:c r="F74" s="12"/>
      <x:c r="G74" s="12"/>
      <x:c r="H74" s="12"/>
    </x:row>
    <x:row r="75">
      <x:c r="B75" s="12"/>
      <x:c r="C75" s="12"/>
      <x:c r="D75" s="12"/>
      <x:c r="E75" s="12"/>
      <x:c r="F75" s="12"/>
      <x:c r="G75" s="12"/>
      <x:c r="H75" s="12"/>
    </x:row>
    <x:row r="76">
      <x:c r="B76" s="12"/>
      <x:c r="C76" s="12"/>
      <x:c r="D76" s="12"/>
      <x:c r="E76" s="12"/>
      <x:c r="F76" s="12"/>
      <x:c r="G76" s="12"/>
      <x:c r="H76" s="12"/>
    </x:row>
    <x:row r="77">
      <x:c r="B77" s="12"/>
      <x:c r="C77" s="12"/>
      <x:c r="D77" s="12"/>
      <x:c r="E77" s="12"/>
      <x:c r="F77" s="12"/>
      <x:c r="G77" s="12"/>
      <x:c r="H77" s="12"/>
    </x:row>
    <x:row r="78">
      <x:c r="B78" s="12"/>
      <x:c r="C78" s="12"/>
      <x:c r="D78" s="12"/>
      <x:c r="E78" s="12"/>
      <x:c r="F78" s="12"/>
      <x:c r="G78" s="12"/>
      <x:c r="H78" s="12"/>
    </x:row>
    <x:row r="79">
      <x:c r="B79" s="12"/>
      <x:c r="C79" s="12"/>
      <x:c r="D79" s="12"/>
      <x:c r="E79" s="12"/>
      <x:c r="F79" s="12"/>
      <x:c r="G79" s="12"/>
      <x:c r="H79" s="12"/>
    </x:row>
    <x:row r="80">
      <x:c r="B80" s="12"/>
      <x:c r="C80" s="12"/>
      <x:c r="D80" s="12"/>
      <x:c r="E80" s="12"/>
      <x:c r="F80" s="12"/>
      <x:c r="G80" s="12"/>
      <x:c r="H80" s="12"/>
    </x:row>
    <x:row r="81">
      <x:c r="B81" s="12"/>
      <x:c r="C81" s="12"/>
      <x:c r="D81" s="12"/>
      <x:c r="E81" s="12"/>
      <x:c r="F81" s="12"/>
      <x:c r="G81" s="12"/>
      <x:c r="H81" s="12"/>
    </x:row>
    <x:row r="82">
      <x:c r="B82" s="12"/>
      <x:c r="C82" s="12"/>
      <x:c r="D82" s="12"/>
      <x:c r="E82" s="12"/>
      <x:c r="F82" s="12"/>
      <x:c r="G82" s="12"/>
      <x:c r="H82" s="12"/>
    </x:row>
    <x:row r="83">
      <x:c r="B83" s="12"/>
      <x:c r="C83" s="12"/>
      <x:c r="D83" s="12"/>
      <x:c r="E83" s="12"/>
      <x:c r="F83" s="12"/>
      <x:c r="G83" s="12"/>
      <x:c r="H83" s="12"/>
    </x:row>
    <x:row r="84">
      <x:c r="B84" s="12"/>
      <x:c r="C84" s="12"/>
      <x:c r="D84" s="12"/>
      <x:c r="E84" s="12"/>
      <x:c r="F84" s="12"/>
      <x:c r="G84" s="12"/>
      <x:c r="H84" s="12"/>
    </x:row>
    <x:row r="85">
      <x:c r="B85" s="12"/>
      <x:c r="C85" s="12"/>
      <x:c r="D85" s="12"/>
      <x:c r="E85" s="12"/>
      <x:c r="F85" s="12"/>
      <x:c r="G85" s="12"/>
      <x:c r="H85" s="12"/>
    </x:row>
    <x:row r="86">
      <x:c r="B86" s="12"/>
      <x:c r="C86" s="12"/>
      <x:c r="D86" s="12"/>
      <x:c r="E86" s="12"/>
      <x:c r="F86" s="12"/>
      <x:c r="G86" s="12"/>
      <x:c r="H86" s="12"/>
    </x:row>
    <x:row r="87">
      <x:c r="B87" s="12"/>
      <x:c r="C87" s="12"/>
      <x:c r="D87" s="12"/>
      <x:c r="E87" s="12"/>
      <x:c r="F87" s="12"/>
      <x:c r="G87" s="12"/>
      <x:c r="H87" s="12"/>
    </x:row>
    <x:row r="88">
      <x:c r="B88" s="12"/>
      <x:c r="C88" s="12"/>
      <x:c r="D88" s="12"/>
      <x:c r="E88" s="12"/>
      <x:c r="F88" s="12"/>
      <x:c r="G88" s="12"/>
      <x:c r="H88" s="12"/>
    </x:row>
    <x:row r="89">
      <x:c r="B89" s="12"/>
      <x:c r="C89" s="12"/>
      <x:c r="D89" s="12"/>
      <x:c r="E89" s="12"/>
      <x:c r="F89" s="12"/>
      <x:c r="G89" s="12"/>
      <x:c r="H89" s="12"/>
    </x:row>
    <x:row r="90">
      <x:c r="B90" s="12"/>
      <x:c r="C90" s="12"/>
      <x:c r="D90" s="12"/>
      <x:c r="E90" s="12"/>
      <x:c r="F90" s="12"/>
      <x:c r="G90" s="12"/>
      <x:c r="H90" s="12"/>
    </x:row>
    <x:row r="91">
      <x:c r="B91" s="12"/>
      <x:c r="C91" s="12"/>
      <x:c r="D91" s="12"/>
      <x:c r="E91" s="12"/>
      <x:c r="F91" s="12"/>
      <x:c r="G91" s="12"/>
      <x:c r="H91" s="12"/>
    </x:row>
    <x:row r="92">
      <x:c r="B92" s="12"/>
      <x:c r="C92" s="12"/>
      <x:c r="D92" s="12"/>
      <x:c r="E92" s="12"/>
      <x:c r="F92" s="12"/>
      <x:c r="G92" s="12"/>
      <x:c r="H92" s="12"/>
    </x:row>
    <x:row r="93">
      <x:c r="B93" s="12"/>
      <x:c r="C93" s="12"/>
      <x:c r="D93" s="12"/>
      <x:c r="E93" s="12"/>
      <x:c r="F93" s="12"/>
      <x:c r="G93" s="12"/>
      <x:c r="H93" s="12"/>
    </x:row>
    <x:row r="94">
      <x:c r="B94" s="12"/>
      <x:c r="C94" s="12"/>
      <x:c r="D94" s="12"/>
      <x:c r="E94" s="12"/>
      <x:c r="F94" s="12"/>
      <x:c r="G94" s="12"/>
      <x:c r="H94" s="12"/>
    </x:row>
    <x:row r="95">
      <x:c r="B95" s="12"/>
      <x:c r="C95" s="12"/>
      <x:c r="D95" s="12"/>
      <x:c r="E95" s="12"/>
      <x:c r="F95" s="12"/>
      <x:c r="G95" s="12"/>
      <x:c r="H95" s="12"/>
    </x:row>
    <x:row r="96">
      <x:c r="B96" s="12"/>
      <x:c r="C96" s="12"/>
      <x:c r="D96" s="12"/>
      <x:c r="E96" s="12"/>
      <x:c r="F96" s="12"/>
      <x:c r="G96" s="12"/>
      <x:c r="H96" s="12"/>
    </x:row>
    <x:row r="97">
      <x:c r="B97" s="12"/>
      <x:c r="C97" s="12"/>
      <x:c r="D97" s="12"/>
      <x:c r="E97" s="12"/>
      <x:c r="F97" s="12"/>
      <x:c r="G97" s="12"/>
      <x:c r="H97" s="12"/>
    </x:row>
    <x:row r="98">
      <x:c r="B98" s="12"/>
      <x:c r="C98" s="12"/>
      <x:c r="D98" s="12"/>
      <x:c r="E98" s="12"/>
      <x:c r="F98" s="12"/>
      <x:c r="G98" s="12"/>
      <x:c r="H98" s="12"/>
    </x:row>
    <x:row r="99">
      <x:c r="B99" s="12"/>
      <x:c r="C99" s="12"/>
      <x:c r="D99" s="12"/>
      <x:c r="E99" s="12"/>
      <x:c r="F99" s="12"/>
      <x:c r="G99" s="12"/>
      <x:c r="H99" s="12"/>
    </x:row>
    <x:row r="100">
      <x:c r="B100" s="12"/>
      <x:c r="C100" s="12"/>
      <x:c r="D100" s="12"/>
      <x:c r="E100" s="12"/>
      <x:c r="F100" s="12"/>
      <x:c r="G100" s="12"/>
      <x:c r="H100" s="12"/>
    </x:row>
    <x:row r="101">
      <x:c r="B101" s="12"/>
      <x:c r="C101" s="12"/>
      <x:c r="D101" s="12"/>
      <x:c r="E101" s="12"/>
      <x:c r="F101" s="12"/>
      <x:c r="G101" s="12"/>
      <x:c r="H101" s="12"/>
    </x:row>
    <x:row r="102">
      <x:c r="B102" s="12"/>
      <x:c r="C102" s="12"/>
      <x:c r="D102" s="12"/>
      <x:c r="E102" s="12"/>
      <x:c r="F102" s="12"/>
      <x:c r="G102" s="12"/>
      <x:c r="H102" s="12"/>
    </x:row>
    <x:row r="103">
      <x:c r="B103" s="12"/>
      <x:c r="C103" s="12"/>
      <x:c r="D103" s="12"/>
      <x:c r="E103" s="12"/>
      <x:c r="F103" s="12"/>
      <x:c r="G103" s="12"/>
      <x:c r="H103" s="12"/>
    </x:row>
    <x:row r="104">
      <x:c r="B104" s="12"/>
      <x:c r="C104" s="12"/>
      <x:c r="D104" s="12"/>
      <x:c r="E104" s="12"/>
      <x:c r="F104" s="12"/>
      <x:c r="G104" s="12"/>
      <x:c r="H104" s="12"/>
    </x:row>
    <x:row r="105">
      <x:c r="B105" s="12"/>
      <x:c r="C105" s="12"/>
      <x:c r="D105" s="12"/>
      <x:c r="E105" s="12"/>
      <x:c r="F105" s="12"/>
      <x:c r="G105" s="12"/>
      <x:c r="H105" s="12"/>
    </x:row>
    <x:row r="106">
      <x:c r="B106" s="12"/>
      <x:c r="C106" s="12"/>
      <x:c r="D106" s="12"/>
      <x:c r="E106" s="12"/>
      <x:c r="F106" s="12"/>
      <x:c r="G106" s="12"/>
      <x:c r="H106" s="12"/>
    </x:row>
    <x:row r="107">
      <x:c r="B107" s="12"/>
      <x:c r="C107" s="12"/>
      <x:c r="D107" s="12"/>
      <x:c r="E107" s="12"/>
      <x:c r="F107" s="12"/>
      <x:c r="G107" s="12"/>
      <x:c r="H107" s="12"/>
    </x:row>
    <x:row r="108">
      <x:c r="B108" s="12"/>
      <x:c r="C108" s="12"/>
      <x:c r="D108" s="12"/>
      <x:c r="E108" s="12"/>
      <x:c r="F108" s="12"/>
      <x:c r="G108" s="12"/>
      <x:c r="H108" s="12"/>
    </x:row>
    <x:row r="109">
      <x:c r="B109" s="12"/>
      <x:c r="C109" s="12"/>
      <x:c r="D109" s="12"/>
      <x:c r="E109" s="12"/>
      <x:c r="F109" s="12"/>
      <x:c r="G109" s="12"/>
      <x:c r="H109" s="12"/>
    </x:row>
    <x:row r="110">
      <x:c r="B110" s="12"/>
      <x:c r="C110" s="12"/>
      <x:c r="D110" s="12"/>
      <x:c r="E110" s="12"/>
      <x:c r="F110" s="12"/>
      <x:c r="G110" s="12"/>
      <x:c r="H110" s="12"/>
    </x:row>
    <x:row r="111">
      <x:c r="B111" s="12"/>
      <x:c r="C111" s="12"/>
      <x:c r="D111" s="12"/>
      <x:c r="E111" s="12"/>
      <x:c r="F111" s="12"/>
      <x:c r="G111" s="12"/>
      <x:c r="H111" s="12"/>
    </x:row>
    <x:row r="112">
      <x:c r="B112" s="12"/>
      <x:c r="C112" s="12"/>
      <x:c r="D112" s="12"/>
      <x:c r="E112" s="12"/>
      <x:c r="F112" s="12"/>
      <x:c r="G112" s="12"/>
      <x:c r="H112" s="12"/>
    </x:row>
    <x:row r="113">
      <x:c r="B113" s="12"/>
      <x:c r="C113" s="12"/>
      <x:c r="D113" s="12"/>
      <x:c r="E113" s="12"/>
      <x:c r="F113" s="12"/>
      <x:c r="G113" s="12"/>
      <x:c r="H113" s="12"/>
    </x:row>
    <x:row r="114">
      <x:c r="B114" s="12"/>
      <x:c r="C114" s="12"/>
      <x:c r="D114" s="12"/>
      <x:c r="E114" s="12"/>
      <x:c r="F114" s="12"/>
      <x:c r="G114" s="12"/>
      <x:c r="H114" s="12"/>
    </x:row>
    <x:row r="115">
      <x:c r="B115" s="12"/>
      <x:c r="C115" s="12"/>
      <x:c r="D115" s="12"/>
      <x:c r="E115" s="12"/>
      <x:c r="F115" s="12"/>
      <x:c r="G115" s="12"/>
      <x:c r="H115" s="12"/>
    </x:row>
    <x:row r="116">
      <x:c r="B116" s="12"/>
      <x:c r="C116" s="12"/>
      <x:c r="D116" s="12"/>
      <x:c r="E116" s="12"/>
      <x:c r="F116" s="12"/>
      <x:c r="G116" s="12"/>
      <x:c r="H116" s="12"/>
    </x:row>
    <x:row r="117">
      <x:c r="B117" s="12"/>
      <x:c r="C117" s="12"/>
      <x:c r="D117" s="12"/>
      <x:c r="E117" s="12"/>
      <x:c r="F117" s="12"/>
      <x:c r="G117" s="12"/>
      <x:c r="H117" s="12"/>
    </x:row>
    <x:row r="118">
      <x:c r="B118" s="12"/>
      <x:c r="C118" s="12"/>
      <x:c r="D118" s="12"/>
      <x:c r="E118" s="12"/>
      <x:c r="F118" s="12"/>
      <x:c r="G118" s="12"/>
      <x:c r="H118" s="12"/>
    </x:row>
    <x:row r="119">
      <x:c r="B119" s="12"/>
      <x:c r="C119" s="12"/>
      <x:c r="D119" s="12"/>
      <x:c r="E119" s="12"/>
      <x:c r="F119" s="12"/>
      <x:c r="G119" s="12"/>
      <x:c r="H119" s="12"/>
    </x:row>
    <x:row r="120">
      <x:c r="B120" s="12"/>
      <x:c r="C120" s="12"/>
      <x:c r="D120" s="12"/>
      <x:c r="E120" s="12"/>
      <x:c r="F120" s="12"/>
      <x:c r="G120" s="12"/>
      <x:c r="H120" s="12"/>
    </x:row>
    <x:row r="121">
      <x:c r="B121" s="12"/>
      <x:c r="C121" s="12"/>
      <x:c r="D121" s="12"/>
      <x:c r="E121" s="12"/>
      <x:c r="F121" s="12"/>
      <x:c r="G121" s="12"/>
      <x:c r="H121" s="12"/>
    </x:row>
    <x:row r="122">
      <x:c r="B122" s="12"/>
      <x:c r="C122" s="12"/>
      <x:c r="D122" s="12"/>
      <x:c r="E122" s="12"/>
      <x:c r="F122" s="12"/>
      <x:c r="G122" s="12"/>
      <x:c r="H122" s="12"/>
    </x:row>
    <x:row r="123">
      <x:c r="B123" s="12"/>
      <x:c r="C123" s="12"/>
      <x:c r="D123" s="12"/>
      <x:c r="E123" s="12"/>
      <x:c r="F123" s="12"/>
      <x:c r="G123" s="12"/>
      <x:c r="H123" s="12"/>
    </x:row>
    <x:row r="124">
      <x:c r="B124" s="12"/>
      <x:c r="C124" s="12"/>
      <x:c r="D124" s="12"/>
      <x:c r="E124" s="12"/>
      <x:c r="F124" s="12"/>
      <x:c r="G124" s="12"/>
      <x:c r="H124" s="12"/>
    </x:row>
    <x:row r="125">
      <x:c r="B125" s="12"/>
      <x:c r="C125" s="12"/>
      <x:c r="D125" s="12"/>
      <x:c r="E125" s="12"/>
      <x:c r="F125" s="12"/>
      <x:c r="G125" s="12"/>
      <x:c r="H125" s="12"/>
    </x:row>
  </x:sheetData>
  <x:mergeCells>
    <x:mergeCell ref="A1:J2"/>
    <x:mergeCell ref="A3:J3"/>
    <x:mergeCell ref="A6:J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51" hidden="0" customWidth="1"/>
    <x:col min="10" max="10" width="70" hidden="0" customWidth="1"/>
  </x:cols>
  <x:sheetData>
    <x:row r="1" ht="23" customHeight="1">
      <x:c r="A1" s="74" t="str">
        <x:v>SMSM | Comparable Company Input Readiness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23" customHeight="1">
      <x:c r="A2" s="74"/>
      <x:c r="B2" s="74"/>
      <x:c r="C2" s="74"/>
      <x:c r="D2" s="74"/>
      <x:c r="E2" s="74"/>
      <x:c r="F2" s="74"/>
      <x:c r="G2" s="74"/>
      <x:c r="H2" s="74"/>
      <x:c r="I2" s="74"/>
      <x:c r="J2" s="74"/>
    </x:row>
    <x:row r="3" ht="25" customHeight="1">
      <x:c r="A3" s="75" t="str">
        <x:v>No final market multiples; qualitative normalization requirements; no invented peer numbers</x:v>
      </x:c>
      <x:c r="B3" s="75"/>
      <x:c r="C3" s="75"/>
      <x:c r="D3" s="75"/>
      <x:c r="E3" s="75"/>
      <x:c r="F3" s="75"/>
      <x:c r="G3" s="75"/>
      <x:c r="H3" s="75"/>
      <x:c r="I3" s="75"/>
      <x:c r="J3" s="75"/>
    </x:row>
    <x:row r="5">
      <x:c r="B5" s="12"/>
      <x:c r="C5" s="12"/>
      <x:c r="D5" s="12"/>
      <x:c r="E5" s="12"/>
      <x:c r="F5" s="12"/>
      <x:c r="G5" s="12"/>
      <x:c r="H5" s="12"/>
    </x:row>
    <x:row r="6" ht="25" customHeight="1">
      <x:c r="A6" s="28" t="str">
        <x:v>Ticker</x:v>
      </x:c>
      <x:c r="B6" s="58" t="str">
        <x:v>Peer company</x:v>
      </x:c>
      <x:c r="C6" s="58" t="str">
        <x:v>Business relevance</x:v>
      </x:c>
      <x:c r="D6" s="58" t="str">
        <x:v>Peer tier</x:v>
      </x:c>
      <x:c r="E6" s="58" t="str">
        <x:v>Financial filings</x:v>
      </x:c>
      <x:c r="F6" s="58" t="str">
        <x:v>Fiscal year</x:v>
      </x:c>
      <x:c r="G6" s="58" t="str">
        <x:v>EV components</x:v>
      </x:c>
      <x:c r="H6" s="58" t="str">
        <x:v>Accounting harmonization</x:v>
      </x:c>
      <x:c r="I6" s="28" t="str">
        <x:v>Official source URL</x:v>
      </x:c>
      <x:c r="J6" s="28" t="str">
        <x:v>Open task</x:v>
      </x:c>
    </x:row>
    <x:row r="7" ht="64" customHeight="1">
      <x:c r="A7" s="56" t="str">
        <x:v>ATMU</x:v>
      </x:c>
      <x:c r="B7" s="20" t="str">
        <x:v>Atmus Filtration Technologies</x:v>
      </x:c>
      <x:c r="C7" s="20" t="str">
        <x:v>Highly relevant filtration/aftermarket economics</x:v>
      </x:c>
      <x:c r="D7" s="20" t="str">
        <x:v>PRIMARY</x:v>
      </x:c>
      <x:c r="E7" s="20" t="str">
        <x:v>FY2025 Form 10-K identified</x:v>
      </x:c>
      <x:c r="F7" s="20" t="str">
        <x:v>December</x:v>
      </x:c>
      <x:c r="G7" s="20" t="str">
        <x:v>Market cap, bank debt, leases, NCI, cash, non-operating</x:v>
      </x:c>
      <x:c r="H7" s="20" t="str">
        <x:v>Compare aftermarket mix, financing, post-spin history</x:v>
      </x:c>
      <x:c r="I7" s="21" t="str">
        <x:v>https://www.sec.gov/Archives/edgar/data/1921963/000192196326000015/atmu-20251231.htm</x:v>
      </x:c>
      <x:c r="J7" s="21" t="str">
        <x:v>2026 TTM P&amp;L/financial claims not yet standardized</x:v>
      </x:c>
    </x:row>
    <x:row r="8" ht="64" customHeight="1">
      <x:c r="A8" s="56" t="str">
        <x:v>DCI</x:v>
      </x:c>
      <x:c r="B8" s="20" t="str">
        <x:v>Donaldson Company</x:v>
      </x:c>
      <x:c r="C8" s="20" t="str">
        <x:v>Filtration but more diversified; technology relationship with PJM</x:v>
      </x:c>
      <x:c r="D8" s="20" t="str">
        <x:v>SECONDARY</x:v>
      </x:c>
      <x:c r="E8" s="20" t="str">
        <x:v>FY2026 Form 10-K identified</x:v>
      </x:c>
      <x:c r="F8" s="20" t="str">
        <x:v>July</x:v>
      </x:c>
      <x:c r="G8" s="20" t="str">
        <x:v>Market cap, leases, borrowings, associates, excess cash</x:v>
      </x:c>
      <x:c r="H8" s="20" t="str">
        <x:v>Adjust FY ending July; segment and geographic mix</x:v>
      </x:c>
      <x:c r="I8" s="21" t="str">
        <x:v>https://www.sec.gov/Archives/edgar/data/29644/000002964426000085/dci-20260731.htm</x:v>
      </x:c>
      <x:c r="J8" s="21" t="str">
        <x:v>Align earnings periods with Oct 2026 market date</x:v>
      </x:c>
    </x:row>
    <x:row r="9" ht="64" customHeight="1">
      <x:c r="A9" s="56" t="str">
        <x:v>AUTO</x:v>
      </x:c>
      <x:c r="B9" s="20" t="str">
        <x:v>PT Astra Otoparts Tbk</x:v>
      </x:c>
      <x:c r="C9" s="20" t="str">
        <x:v>Indonesia automotive-components cross-check, not pure-play</x:v>
      </x:c>
      <x:c r="D9" s="20" t="str">
        <x:v>SUPPLEMENTARY</x:v>
      </x:c>
      <x:c r="E9" s="20" t="str">
        <x:v>IDX and investor financial reports identifiable</x:v>
      </x:c>
      <x:c r="F9" s="20" t="str">
        <x:v>December</x:v>
      </x:c>
      <x:c r="G9" s="20" t="str">
        <x:v>Debt, leases, investees, NCI, cash</x:v>
      </x:c>
      <x:c r="H9" s="20" t="str">
        <x:v>Diversified operations and associate profits differ</x:v>
      </x:c>
      <x:c r="I9" s="21" t="str">
        <x:v>https://www.astra-otoparts.com/investorrelation</x:v>
      </x:c>
      <x:c r="J9" s="21" t="str">
        <x:v>Narrow scope; assess earnings/consolidation comparability</x:v>
      </x:c>
    </x:row>
    <x:row r="10">
      <x:c r="A10" s="50"/>
      <x:c r="B10" s="12"/>
      <x:c r="C10" s="12"/>
      <x:c r="D10" s="12"/>
      <x:c r="E10" s="12"/>
      <x:c r="F10" s="12"/>
      <x:c r="G10" s="12"/>
      <x:c r="H10" s="12"/>
    </x:row>
    <x:row r="11">
      <x:c r="A11" s="50"/>
      <x:c r="B11" s="12"/>
      <x:c r="C11" s="12"/>
      <x:c r="D11" s="12"/>
      <x:c r="E11" s="12"/>
      <x:c r="F11" s="12"/>
      <x:c r="G11" s="12"/>
      <x:c r="H11" s="12"/>
    </x:row>
    <x:row r="12" ht="23" customHeight="1">
      <x:c r="A12" s="51" t="str">
        <x:v>CONSISTENCY GATES BEFORE ANY RELATIVE VALUATION</x:v>
      </x:c>
      <x:c r="B12" s="16"/>
      <x:c r="C12" s="16"/>
      <x:c r="D12" s="16"/>
      <x:c r="E12" s="16"/>
      <x:c r="F12" s="16"/>
      <x:c r="G12" s="16"/>
      <x:c r="H12" s="16"/>
      <x:c r="I12" s="15"/>
      <x:c r="J12" s="15"/>
    </x:row>
    <x:row r="13">
      <x:c r="A13" s="50" t="str">
        <x:v>EV / EBITDA ownership scope</x:v>
      </x:c>
      <x:c r="B13" s="20" t="str">
        <x:v>EV includes NCI if EBITDA includes full consolidated subsidiary operations</x:v>
      </x:c>
      <x:c r="C13" s="20"/>
      <x:c r="D13" s="20"/>
      <x:c r="E13" s="20"/>
      <x:c r="F13" s="20"/>
      <x:c r="G13" s="20"/>
      <x:c r="H13" s="20"/>
      <x:c r="I13" s="21"/>
      <x:c r="J13" s="21"/>
    </x:row>
    <x:row r="14">
      <x:c r="A14" s="50" t="str">
        <x:v>EV / EBIT accounting basis</x:v>
      </x:c>
      <x:c r="B14" s="20" t="str">
        <x:v>Comparable lease treatment, D&amp;A, one-off adjustments, revenue/segment mix</x:v>
      </x:c>
      <x:c r="C14" s="20"/>
      <x:c r="D14" s="20"/>
      <x:c r="E14" s="20"/>
      <x:c r="F14" s="20"/>
      <x:c r="G14" s="20"/>
      <x:c r="H14" s="20"/>
      <x:c r="I14" s="21"/>
      <x:c r="J14" s="21"/>
    </x:row>
    <x:row r="15">
      <x:c r="A15" s="50" t="str">
        <x:v>Earnings periods</x:v>
      </x:c>
      <x:c r="B15" s="20" t="str">
        <x:v>FY / LTM or forward basis consistent with 23 Oct 2026 price</x:v>
      </x:c>
      <x:c r="C15" s="20"/>
      <x:c r="D15" s="20"/>
      <x:c r="E15" s="20"/>
      <x:c r="F15" s="20"/>
      <x:c r="G15" s="20"/>
      <x:c r="H15" s="20"/>
      <x:c r="I15" s="21"/>
      <x:c r="J15" s="21"/>
    </x:row>
    <x:row r="16">
      <x:c r="A16" s="50" t="str">
        <x:v>Currency</x:v>
      </x:c>
      <x:c r="B16" s="20" t="str">
        <x:v>Ratio dimensionless; peer EV and denominator same currency independently</x:v>
      </x:c>
      <x:c r="C16" s="20"/>
      <x:c r="D16" s="20"/>
      <x:c r="E16" s="20"/>
      <x:c r="F16" s="20"/>
      <x:c r="G16" s="20"/>
      <x:c r="H16" s="20"/>
      <x:c r="I16" s="21"/>
      <x:c r="J16" s="21"/>
    </x:row>
    <x:row r="17">
      <x:c r="A17" s="50" t="str">
        <x:v>Peer selection transparency</x:v>
      </x:c>
      <x:c r="B17" s="20" t="str">
        <x:v>ATMU primary; DCI secondary; AUTO supplementary; weighting not automatic</x:v>
      </x:c>
      <x:c r="C17" s="20"/>
      <x:c r="D17" s="20"/>
      <x:c r="E17" s="20"/>
      <x:c r="F17" s="20"/>
      <x:c r="G17" s="20"/>
      <x:c r="H17" s="20"/>
      <x:c r="I17" s="21"/>
      <x:c r="J17" s="21"/>
    </x:row>
    <x:row r="18">
      <x:c r="A18" s="50" t="str">
        <x:v>No final multiples at Stage 2B</x:v>
      </x:c>
      <x:c r="B18" s="20" t="str">
        <x:v>Peer metrics are NOT estimated here</x:v>
      </x:c>
      <x:c r="C18" s="20"/>
      <x:c r="D18" s="20"/>
      <x:c r="E18" s="20"/>
      <x:c r="F18" s="20"/>
      <x:c r="G18" s="20"/>
      <x:c r="H18" s="20"/>
      <x:c r="I18" s="21"/>
      <x:c r="J18" s="21"/>
    </x:row>
    <x:row r="19">
      <x:c r="A19" s="50"/>
      <x:c r="B19" s="12"/>
      <x:c r="C19" s="12"/>
      <x:c r="D19" s="12"/>
      <x:c r="E19" s="12"/>
      <x:c r="F19" s="12"/>
      <x:c r="G19" s="12"/>
      <x:c r="H19" s="12"/>
    </x:row>
    <x:row r="20">
      <x:c r="A20" s="50"/>
      <x:c r="B20" s="12"/>
      <x:c r="C20" s="12"/>
      <x:c r="D20" s="12"/>
      <x:c r="E20" s="12"/>
      <x:c r="F20" s="12"/>
      <x:c r="G20" s="12"/>
      <x:c r="H20" s="12"/>
    </x:row>
    <x:row r="21">
      <x:c r="A21" s="50"/>
      <x:c r="B21" s="12"/>
      <x:c r="C21" s="12"/>
      <x:c r="D21" s="12"/>
      <x:c r="E21" s="12"/>
      <x:c r="F21" s="12"/>
      <x:c r="G21" s="12"/>
      <x:c r="H21" s="12"/>
    </x:row>
    <x:row r="22">
      <x:c r="A22" s="50"/>
      <x:c r="B22" s="12"/>
      <x:c r="C22" s="12"/>
      <x:c r="D22" s="12"/>
      <x:c r="E22" s="12"/>
      <x:c r="F22" s="12"/>
      <x:c r="G22" s="12"/>
      <x:c r="H22" s="12"/>
    </x:row>
    <x:row r="23">
      <x:c r="A23" s="50"/>
      <x:c r="B23" s="12"/>
      <x:c r="C23" s="12"/>
      <x:c r="D23" s="12"/>
      <x:c r="E23" s="12"/>
      <x:c r="F23" s="12"/>
      <x:c r="G23" s="12"/>
      <x:c r="H23" s="12"/>
    </x:row>
    <x:row r="24">
      <x:c r="A24" s="50"/>
      <x:c r="B24" s="12"/>
      <x:c r="C24" s="12"/>
      <x:c r="D24" s="12"/>
      <x:c r="E24" s="12"/>
      <x:c r="F24" s="12"/>
      <x:c r="G24" s="12"/>
      <x:c r="H24" s="12"/>
    </x:row>
    <x:row r="25">
      <x:c r="A25" s="50"/>
      <x:c r="B25" s="12"/>
      <x:c r="C25" s="12"/>
      <x:c r="D25" s="12"/>
      <x:c r="E25" s="12"/>
      <x:c r="F25" s="12"/>
      <x:c r="G25" s="12"/>
      <x:c r="H25" s="12"/>
    </x:row>
    <x:row r="26">
      <x:c r="A26" s="50"/>
      <x:c r="B26" s="12"/>
      <x:c r="C26" s="12"/>
      <x:c r="D26" s="12"/>
      <x:c r="E26" s="12"/>
      <x:c r="F26" s="12"/>
      <x:c r="G26" s="12"/>
      <x:c r="H26" s="12"/>
    </x:row>
    <x:row r="27">
      <x:c r="A27" s="50"/>
      <x:c r="B27" s="12"/>
      <x:c r="C27" s="12"/>
      <x:c r="D27" s="12"/>
      <x:c r="E27" s="12"/>
      <x:c r="F27" s="12"/>
      <x:c r="G27" s="12"/>
      <x:c r="H27" s="12"/>
    </x:row>
    <x:row r="28">
      <x:c r="A28" s="50"/>
      <x:c r="B28" s="12"/>
      <x:c r="C28" s="12"/>
      <x:c r="D28" s="12"/>
      <x:c r="E28" s="12"/>
      <x:c r="F28" s="12"/>
      <x:c r="G28" s="12"/>
      <x:c r="H28" s="12"/>
    </x:row>
    <x:row r="29">
      <x:c r="A29" s="50"/>
      <x:c r="B29" s="12"/>
      <x:c r="C29" s="12"/>
      <x:c r="D29" s="12"/>
      <x:c r="E29" s="12"/>
      <x:c r="F29" s="12"/>
      <x:c r="G29" s="12"/>
      <x:c r="H29" s="12"/>
    </x:row>
    <x:row r="30">
      <x:c r="A30" s="50"/>
      <x:c r="B30" s="12"/>
      <x:c r="C30" s="12"/>
      <x:c r="D30" s="12"/>
      <x:c r="E30" s="12"/>
      <x:c r="F30" s="12"/>
      <x:c r="G30" s="12"/>
      <x:c r="H30" s="12"/>
    </x:row>
    <x:row r="31">
      <x:c r="A31" s="50"/>
      <x:c r="B31" s="12"/>
      <x:c r="C31" s="12"/>
      <x:c r="D31" s="12"/>
      <x:c r="E31" s="12"/>
      <x:c r="F31" s="12"/>
      <x:c r="G31" s="12"/>
      <x:c r="H31" s="12"/>
    </x:row>
    <x:row r="32">
      <x:c r="A32" s="50"/>
      <x:c r="B32" s="12"/>
      <x:c r="C32" s="12"/>
      <x:c r="D32" s="12"/>
      <x:c r="E32" s="12"/>
      <x:c r="F32" s="12"/>
      <x:c r="G32" s="12"/>
      <x:c r="H32" s="12"/>
    </x:row>
    <x:row r="33">
      <x:c r="A33" s="50"/>
      <x:c r="B33" s="12"/>
      <x:c r="C33" s="12"/>
      <x:c r="D33" s="12"/>
      <x:c r="E33" s="12"/>
      <x:c r="F33" s="12"/>
      <x:c r="G33" s="12"/>
      <x:c r="H33" s="12"/>
    </x:row>
    <x:row r="34">
      <x:c r="A34" s="50"/>
      <x:c r="B34" s="12"/>
      <x:c r="C34" s="12"/>
      <x:c r="D34" s="12"/>
      <x:c r="E34" s="12"/>
      <x:c r="F34" s="12"/>
      <x:c r="G34" s="12"/>
      <x:c r="H34" s="12"/>
    </x:row>
    <x:row r="35">
      <x:c r="A35" s="50"/>
      <x:c r="B35" s="12"/>
      <x:c r="C35" s="12"/>
      <x:c r="D35" s="12"/>
      <x:c r="E35" s="12"/>
      <x:c r="F35" s="12"/>
      <x:c r="G35" s="12"/>
      <x:c r="H35" s="12"/>
    </x:row>
    <x:row r="36">
      <x:c r="A36" s="50"/>
      <x:c r="B36" s="12"/>
      <x:c r="C36" s="12"/>
      <x:c r="D36" s="12"/>
      <x:c r="E36" s="12"/>
      <x:c r="F36" s="12"/>
      <x:c r="G36" s="12"/>
      <x:c r="H36" s="12"/>
    </x:row>
    <x:row r="37">
      <x:c r="A37" s="50"/>
      <x:c r="B37" s="12"/>
      <x:c r="C37" s="12"/>
      <x:c r="D37" s="12"/>
      <x:c r="E37" s="12"/>
      <x:c r="F37" s="12"/>
      <x:c r="G37" s="12"/>
      <x:c r="H37" s="12"/>
    </x:row>
    <x:row r="38">
      <x:c r="A38" s="50"/>
      <x:c r="B38" s="12"/>
      <x:c r="C38" s="12"/>
      <x:c r="D38" s="12"/>
      <x:c r="E38" s="12"/>
      <x:c r="F38" s="12"/>
      <x:c r="G38" s="12"/>
      <x:c r="H38" s="12"/>
    </x:row>
    <x:row r="39">
      <x:c r="A39" s="50"/>
      <x:c r="B39" s="12"/>
      <x:c r="C39" s="12"/>
      <x:c r="D39" s="12"/>
      <x:c r="E39" s="12"/>
      <x:c r="F39" s="12"/>
      <x:c r="G39" s="12"/>
      <x:c r="H39" s="12"/>
    </x:row>
    <x:row r="40">
      <x:c r="A40" s="50"/>
      <x:c r="B40" s="12"/>
      <x:c r="C40" s="12"/>
      <x:c r="D40" s="12"/>
      <x:c r="E40" s="12"/>
      <x:c r="F40" s="12"/>
      <x:c r="G40" s="12"/>
      <x:c r="H40" s="12"/>
    </x:row>
    <x:row r="41">
      <x:c r="A41" s="50"/>
      <x:c r="B41" s="12"/>
      <x:c r="C41" s="12"/>
      <x:c r="D41" s="12"/>
      <x:c r="E41" s="12"/>
      <x:c r="F41" s="12"/>
      <x:c r="G41" s="12"/>
      <x:c r="H41" s="12"/>
    </x:row>
    <x:row r="42">
      <x:c r="A42" s="50"/>
      <x:c r="B42" s="12"/>
      <x:c r="C42" s="12"/>
      <x:c r="D42" s="12"/>
      <x:c r="E42" s="12"/>
      <x:c r="F42" s="12"/>
      <x:c r="G42" s="12"/>
      <x:c r="H42" s="12"/>
    </x:row>
    <x:row r="43">
      <x:c r="A43" s="50"/>
      <x:c r="B43" s="12"/>
      <x:c r="C43" s="12"/>
      <x:c r="D43" s="12"/>
      <x:c r="E43" s="12"/>
      <x:c r="F43" s="12"/>
      <x:c r="G43" s="12"/>
      <x:c r="H43" s="12"/>
    </x:row>
    <x:row r="44">
      <x:c r="A44" s="50"/>
      <x:c r="B44" s="12"/>
      <x:c r="C44" s="12"/>
      <x:c r="D44" s="12"/>
      <x:c r="E44" s="12"/>
      <x:c r="F44" s="12"/>
      <x:c r="G44" s="12"/>
      <x:c r="H44" s="12"/>
    </x:row>
    <x:row r="45">
      <x:c r="A45" s="50"/>
      <x:c r="B45" s="12"/>
      <x:c r="C45" s="12"/>
      <x:c r="D45" s="12"/>
      <x:c r="E45" s="12"/>
      <x:c r="F45" s="12"/>
      <x:c r="G45" s="12"/>
      <x:c r="H45" s="12"/>
    </x:row>
    <x:row r="46">
      <x:c r="A46" s="50"/>
      <x:c r="B46" s="12"/>
      <x:c r="C46" s="12"/>
      <x:c r="D46" s="12"/>
      <x:c r="E46" s="12"/>
      <x:c r="F46" s="12"/>
      <x:c r="G46" s="12"/>
      <x:c r="H46" s="12"/>
    </x:row>
    <x:row r="47">
      <x:c r="A47" s="50"/>
      <x:c r="B47" s="12"/>
      <x:c r="C47" s="12"/>
      <x:c r="D47" s="12"/>
      <x:c r="E47" s="12"/>
      <x:c r="F47" s="12"/>
      <x:c r="G47" s="12"/>
      <x:c r="H47" s="12"/>
    </x:row>
    <x:row r="48">
      <x:c r="A48" s="50"/>
      <x:c r="B48" s="12"/>
      <x:c r="C48" s="12"/>
      <x:c r="D48" s="12"/>
      <x:c r="E48" s="12"/>
      <x:c r="F48" s="12"/>
      <x:c r="G48" s="12"/>
      <x:c r="H48" s="12"/>
    </x:row>
    <x:row r="49">
      <x:c r="A49" s="50"/>
      <x:c r="B49" s="12"/>
      <x:c r="C49" s="12"/>
      <x:c r="D49" s="12"/>
      <x:c r="E49" s="12"/>
      <x:c r="F49" s="12"/>
      <x:c r="G49" s="12"/>
      <x:c r="H49" s="12"/>
    </x:row>
    <x:row r="50">
      <x:c r="A50" s="50"/>
      <x:c r="B50" s="12"/>
      <x:c r="C50" s="12"/>
      <x:c r="D50" s="12"/>
      <x:c r="E50" s="12"/>
      <x:c r="F50" s="12"/>
      <x:c r="G50" s="12"/>
      <x:c r="H50" s="12"/>
    </x:row>
    <x:row r="51">
      <x:c r="A51" s="50"/>
      <x:c r="B51" s="12"/>
      <x:c r="C51" s="12"/>
      <x:c r="D51" s="12"/>
      <x:c r="E51" s="12"/>
      <x:c r="F51" s="12"/>
      <x:c r="G51" s="12"/>
      <x:c r="H51" s="12"/>
    </x:row>
    <x:row r="52">
      <x:c r="A52" s="50"/>
      <x:c r="B52" s="12"/>
      <x:c r="C52" s="12"/>
      <x:c r="D52" s="12"/>
      <x:c r="E52" s="12"/>
      <x:c r="F52" s="12"/>
      <x:c r="G52" s="12"/>
      <x:c r="H52" s="12"/>
    </x:row>
    <x:row r="53">
      <x:c r="A53" s="50"/>
      <x:c r="B53" s="12"/>
      <x:c r="C53" s="12"/>
      <x:c r="D53" s="12"/>
      <x:c r="E53" s="12"/>
      <x:c r="F53" s="12"/>
      <x:c r="G53" s="12"/>
      <x:c r="H53" s="12"/>
    </x:row>
    <x:row r="54">
      <x:c r="A54" s="50"/>
      <x:c r="B54" s="12"/>
      <x:c r="C54" s="12"/>
      <x:c r="D54" s="12"/>
      <x:c r="E54" s="12"/>
      <x:c r="F54" s="12"/>
      <x:c r="G54" s="12"/>
      <x:c r="H54" s="12"/>
    </x:row>
    <x:row r="55">
      <x:c r="A55" s="50"/>
      <x:c r="B55" s="12"/>
      <x:c r="C55" s="12"/>
      <x:c r="D55" s="12"/>
      <x:c r="E55" s="12"/>
      <x:c r="F55" s="12"/>
      <x:c r="G55" s="12"/>
      <x:c r="H55" s="12"/>
    </x:row>
    <x:row r="56">
      <x:c r="A56" s="50"/>
      <x:c r="B56" s="12"/>
      <x:c r="C56" s="12"/>
      <x:c r="D56" s="12"/>
      <x:c r="E56" s="12"/>
      <x:c r="F56" s="12"/>
      <x:c r="G56" s="12"/>
      <x:c r="H56" s="12"/>
    </x:row>
    <x:row r="57">
      <x:c r="A57" s="50"/>
      <x:c r="B57" s="12"/>
      <x:c r="C57" s="12"/>
      <x:c r="D57" s="12"/>
      <x:c r="E57" s="12"/>
      <x:c r="F57" s="12"/>
      <x:c r="G57" s="12"/>
      <x:c r="H57" s="12"/>
    </x:row>
    <x:row r="58">
      <x:c r="A58" s="50"/>
      <x:c r="B58" s="12"/>
      <x:c r="C58" s="12"/>
      <x:c r="D58" s="12"/>
      <x:c r="E58" s="12"/>
      <x:c r="F58" s="12"/>
      <x:c r="G58" s="12"/>
      <x:c r="H58" s="12"/>
    </x:row>
    <x:row r="59">
      <x:c r="A59" s="50"/>
      <x:c r="B59" s="12"/>
      <x:c r="C59" s="12"/>
      <x:c r="D59" s="12"/>
      <x:c r="E59" s="12"/>
      <x:c r="F59" s="12"/>
      <x:c r="G59" s="12"/>
      <x:c r="H59" s="12"/>
    </x:row>
    <x:row r="60">
      <x:c r="A60" s="50"/>
      <x:c r="B60" s="12"/>
      <x:c r="C60" s="12"/>
      <x:c r="D60" s="12"/>
      <x:c r="E60" s="12"/>
      <x:c r="F60" s="12"/>
      <x:c r="G60" s="12"/>
      <x:c r="H60" s="12"/>
    </x:row>
    <x:row r="61">
      <x:c r="B61" s="12"/>
      <x:c r="C61" s="12"/>
      <x:c r="D61" s="12"/>
      <x:c r="E61" s="12"/>
      <x:c r="F61" s="12"/>
      <x:c r="G61" s="12"/>
      <x:c r="H61" s="12"/>
    </x:row>
    <x:row r="62">
      <x:c r="B62" s="12"/>
      <x:c r="C62" s="12"/>
      <x:c r="D62" s="12"/>
      <x:c r="E62" s="12"/>
      <x:c r="F62" s="12"/>
      <x:c r="G62" s="12"/>
      <x:c r="H62" s="12"/>
    </x:row>
    <x:row r="63">
      <x:c r="B63" s="12"/>
      <x:c r="C63" s="12"/>
      <x:c r="D63" s="12"/>
      <x:c r="E63" s="12"/>
      <x:c r="F63" s="12"/>
      <x:c r="G63" s="12"/>
      <x:c r="H63" s="12"/>
    </x:row>
    <x:row r="64">
      <x:c r="B64" s="12"/>
      <x:c r="C64" s="12"/>
      <x:c r="D64" s="12"/>
      <x:c r="E64" s="12"/>
      <x:c r="F64" s="12"/>
      <x:c r="G64" s="12"/>
      <x:c r="H64" s="12"/>
    </x:row>
    <x:row r="65">
      <x:c r="B65" s="12"/>
      <x:c r="C65" s="12"/>
      <x:c r="D65" s="12"/>
      <x:c r="E65" s="12"/>
      <x:c r="F65" s="12"/>
      <x:c r="G65" s="12"/>
      <x:c r="H65" s="12"/>
    </x:row>
    <x:row r="66">
      <x:c r="B66" s="12"/>
      <x:c r="C66" s="12"/>
      <x:c r="D66" s="12"/>
      <x:c r="E66" s="12"/>
      <x:c r="F66" s="12"/>
      <x:c r="G66" s="12"/>
      <x:c r="H66" s="12"/>
    </x:row>
    <x:row r="67">
      <x:c r="B67" s="12"/>
      <x:c r="C67" s="12"/>
      <x:c r="D67" s="12"/>
      <x:c r="E67" s="12"/>
      <x:c r="F67" s="12"/>
      <x:c r="G67" s="12"/>
      <x:c r="H67" s="12"/>
    </x:row>
    <x:row r="68">
      <x:c r="B68" s="12"/>
      <x:c r="C68" s="12"/>
      <x:c r="D68" s="12"/>
      <x:c r="E68" s="12"/>
      <x:c r="F68" s="12"/>
      <x:c r="G68" s="12"/>
      <x:c r="H68" s="12"/>
    </x:row>
    <x:row r="69">
      <x:c r="B69" s="12"/>
      <x:c r="C69" s="12"/>
      <x:c r="D69" s="12"/>
      <x:c r="E69" s="12"/>
      <x:c r="F69" s="12"/>
      <x:c r="G69" s="12"/>
      <x:c r="H69" s="12"/>
    </x:row>
    <x:row r="70">
      <x:c r="B70" s="12"/>
      <x:c r="C70" s="12"/>
      <x:c r="D70" s="12"/>
      <x:c r="E70" s="12"/>
      <x:c r="F70" s="12"/>
      <x:c r="G70" s="12"/>
      <x:c r="H70" s="12"/>
    </x:row>
    <x:row r="71">
      <x:c r="B71" s="12"/>
      <x:c r="C71" s="12"/>
      <x:c r="D71" s="12"/>
      <x:c r="E71" s="12"/>
      <x:c r="F71" s="12"/>
      <x:c r="G71" s="12"/>
      <x:c r="H71" s="12"/>
    </x:row>
    <x:row r="72">
      <x:c r="B72" s="12"/>
      <x:c r="C72" s="12"/>
      <x:c r="D72" s="12"/>
      <x:c r="E72" s="12"/>
      <x:c r="F72" s="12"/>
      <x:c r="G72" s="12"/>
      <x:c r="H72" s="12"/>
    </x:row>
    <x:row r="73">
      <x:c r="B73" s="12"/>
      <x:c r="C73" s="12"/>
      <x:c r="D73" s="12"/>
      <x:c r="E73" s="12"/>
      <x:c r="F73" s="12"/>
      <x:c r="G73" s="12"/>
      <x:c r="H73" s="12"/>
    </x:row>
    <x:row r="74">
      <x:c r="B74" s="12"/>
      <x:c r="C74" s="12"/>
      <x:c r="D74" s="12"/>
      <x:c r="E74" s="12"/>
      <x:c r="F74" s="12"/>
      <x:c r="G74" s="12"/>
      <x:c r="H74" s="12"/>
    </x:row>
    <x:row r="75">
      <x:c r="B75" s="12"/>
      <x:c r="C75" s="12"/>
      <x:c r="D75" s="12"/>
      <x:c r="E75" s="12"/>
      <x:c r="F75" s="12"/>
      <x:c r="G75" s="12"/>
      <x:c r="H75" s="12"/>
    </x:row>
    <x:row r="76">
      <x:c r="B76" s="12"/>
      <x:c r="C76" s="12"/>
      <x:c r="D76" s="12"/>
      <x:c r="E76" s="12"/>
      <x:c r="F76" s="12"/>
      <x:c r="G76" s="12"/>
      <x:c r="H76" s="12"/>
    </x:row>
    <x:row r="77">
      <x:c r="B77" s="12"/>
      <x:c r="C77" s="12"/>
      <x:c r="D77" s="12"/>
      <x:c r="E77" s="12"/>
      <x:c r="F77" s="12"/>
      <x:c r="G77" s="12"/>
      <x:c r="H77" s="12"/>
    </x:row>
    <x:row r="78">
      <x:c r="B78" s="12"/>
      <x:c r="C78" s="12"/>
      <x:c r="D78" s="12"/>
      <x:c r="E78" s="12"/>
      <x:c r="F78" s="12"/>
      <x:c r="G78" s="12"/>
      <x:c r="H78" s="12"/>
    </x:row>
    <x:row r="79">
      <x:c r="B79" s="12"/>
      <x:c r="C79" s="12"/>
      <x:c r="D79" s="12"/>
      <x:c r="E79" s="12"/>
      <x:c r="F79" s="12"/>
      <x:c r="G79" s="12"/>
      <x:c r="H79" s="12"/>
    </x:row>
    <x:row r="80">
      <x:c r="B80" s="12"/>
      <x:c r="C80" s="12"/>
      <x:c r="D80" s="12"/>
      <x:c r="E80" s="12"/>
      <x:c r="F80" s="12"/>
      <x:c r="G80" s="12"/>
      <x:c r="H80" s="12"/>
    </x:row>
    <x:row r="81">
      <x:c r="B81" s="12"/>
      <x:c r="C81" s="12"/>
      <x:c r="D81" s="12"/>
      <x:c r="E81" s="12"/>
      <x:c r="F81" s="12"/>
      <x:c r="G81" s="12"/>
      <x:c r="H81" s="12"/>
    </x:row>
    <x:row r="82">
      <x:c r="B82" s="12"/>
      <x:c r="C82" s="12"/>
      <x:c r="D82" s="12"/>
      <x:c r="E82" s="12"/>
      <x:c r="F82" s="12"/>
      <x:c r="G82" s="12"/>
      <x:c r="H82" s="12"/>
    </x:row>
    <x:row r="83">
      <x:c r="B83" s="12"/>
      <x:c r="C83" s="12"/>
      <x:c r="D83" s="12"/>
      <x:c r="E83" s="12"/>
      <x:c r="F83" s="12"/>
      <x:c r="G83" s="12"/>
      <x:c r="H83" s="12"/>
    </x:row>
    <x:row r="84">
      <x:c r="B84" s="12"/>
      <x:c r="C84" s="12"/>
      <x:c r="D84" s="12"/>
      <x:c r="E84" s="12"/>
      <x:c r="F84" s="12"/>
      <x:c r="G84" s="12"/>
      <x:c r="H84" s="12"/>
    </x:row>
    <x:row r="85">
      <x:c r="B85" s="12"/>
      <x:c r="C85" s="12"/>
      <x:c r="D85" s="12"/>
      <x:c r="E85" s="12"/>
      <x:c r="F85" s="12"/>
      <x:c r="G85" s="12"/>
      <x:c r="H85" s="12"/>
    </x:row>
    <x:row r="86">
      <x:c r="B86" s="12"/>
      <x:c r="C86" s="12"/>
      <x:c r="D86" s="12"/>
      <x:c r="E86" s="12"/>
      <x:c r="F86" s="12"/>
      <x:c r="G86" s="12"/>
      <x:c r="H86" s="12"/>
    </x:row>
    <x:row r="87">
      <x:c r="B87" s="12"/>
      <x:c r="C87" s="12"/>
      <x:c r="D87" s="12"/>
      <x:c r="E87" s="12"/>
      <x:c r="F87" s="12"/>
      <x:c r="G87" s="12"/>
      <x:c r="H87" s="12"/>
    </x:row>
    <x:row r="88">
      <x:c r="B88" s="12"/>
      <x:c r="C88" s="12"/>
      <x:c r="D88" s="12"/>
      <x:c r="E88" s="12"/>
      <x:c r="F88" s="12"/>
      <x:c r="G88" s="12"/>
      <x:c r="H88" s="12"/>
    </x:row>
    <x:row r="89">
      <x:c r="B89" s="12"/>
      <x:c r="C89" s="12"/>
      <x:c r="D89" s="12"/>
      <x:c r="E89" s="12"/>
      <x:c r="F89" s="12"/>
      <x:c r="G89" s="12"/>
      <x:c r="H89" s="12"/>
    </x:row>
    <x:row r="90">
      <x:c r="B90" s="12"/>
      <x:c r="C90" s="12"/>
      <x:c r="D90" s="12"/>
      <x:c r="E90" s="12"/>
      <x:c r="F90" s="12"/>
      <x:c r="G90" s="12"/>
      <x:c r="H90" s="12"/>
    </x:row>
    <x:row r="91">
      <x:c r="B91" s="12"/>
      <x:c r="C91" s="12"/>
      <x:c r="D91" s="12"/>
      <x:c r="E91" s="12"/>
      <x:c r="F91" s="12"/>
      <x:c r="G91" s="12"/>
      <x:c r="H91" s="12"/>
    </x:row>
    <x:row r="92">
      <x:c r="B92" s="12"/>
      <x:c r="C92" s="12"/>
      <x:c r="D92" s="12"/>
      <x:c r="E92" s="12"/>
      <x:c r="F92" s="12"/>
      <x:c r="G92" s="12"/>
      <x:c r="H92" s="12"/>
    </x:row>
    <x:row r="93">
      <x:c r="B93" s="12"/>
      <x:c r="C93" s="12"/>
      <x:c r="D93" s="12"/>
      <x:c r="E93" s="12"/>
      <x:c r="F93" s="12"/>
      <x:c r="G93" s="12"/>
      <x:c r="H93" s="12"/>
    </x:row>
    <x:row r="94">
      <x:c r="B94" s="12"/>
      <x:c r="C94" s="12"/>
      <x:c r="D94" s="12"/>
      <x:c r="E94" s="12"/>
      <x:c r="F94" s="12"/>
      <x:c r="G94" s="12"/>
      <x:c r="H94" s="12"/>
    </x:row>
    <x:row r="95">
      <x:c r="B95" s="12"/>
      <x:c r="C95" s="12"/>
      <x:c r="D95" s="12"/>
      <x:c r="E95" s="12"/>
      <x:c r="F95" s="12"/>
      <x:c r="G95" s="12"/>
      <x:c r="H95" s="12"/>
    </x:row>
    <x:row r="96">
      <x:c r="B96" s="12"/>
      <x:c r="C96" s="12"/>
      <x:c r="D96" s="12"/>
      <x:c r="E96" s="12"/>
      <x:c r="F96" s="12"/>
      <x:c r="G96" s="12"/>
      <x:c r="H96" s="12"/>
    </x:row>
    <x:row r="97">
      <x:c r="B97" s="12"/>
      <x:c r="C97" s="12"/>
      <x:c r="D97" s="12"/>
      <x:c r="E97" s="12"/>
      <x:c r="F97" s="12"/>
      <x:c r="G97" s="12"/>
      <x:c r="H97" s="12"/>
    </x:row>
    <x:row r="98">
      <x:c r="B98" s="12"/>
      <x:c r="C98" s="12"/>
      <x:c r="D98" s="12"/>
      <x:c r="E98" s="12"/>
      <x:c r="F98" s="12"/>
      <x:c r="G98" s="12"/>
      <x:c r="H98" s="12"/>
    </x:row>
    <x:row r="99">
      <x:c r="B99" s="12"/>
      <x:c r="C99" s="12"/>
      <x:c r="D99" s="12"/>
      <x:c r="E99" s="12"/>
      <x:c r="F99" s="12"/>
      <x:c r="G99" s="12"/>
      <x:c r="H99" s="12"/>
    </x:row>
    <x:row r="100">
      <x:c r="B100" s="12"/>
      <x:c r="C100" s="12"/>
      <x:c r="D100" s="12"/>
      <x:c r="E100" s="12"/>
      <x:c r="F100" s="12"/>
      <x:c r="G100" s="12"/>
      <x:c r="H100" s="12"/>
    </x:row>
    <x:row r="101">
      <x:c r="B101" s="12"/>
      <x:c r="C101" s="12"/>
      <x:c r="D101" s="12"/>
      <x:c r="E101" s="12"/>
      <x:c r="F101" s="12"/>
      <x:c r="G101" s="12"/>
      <x:c r="H101" s="12"/>
    </x:row>
    <x:row r="102">
      <x:c r="B102" s="12"/>
      <x:c r="C102" s="12"/>
      <x:c r="D102" s="12"/>
      <x:c r="E102" s="12"/>
      <x:c r="F102" s="12"/>
      <x:c r="G102" s="12"/>
      <x:c r="H102" s="12"/>
    </x:row>
    <x:row r="103">
      <x:c r="B103" s="12"/>
      <x:c r="C103" s="12"/>
      <x:c r="D103" s="12"/>
      <x:c r="E103" s="12"/>
      <x:c r="F103" s="12"/>
      <x:c r="G103" s="12"/>
      <x:c r="H103" s="12"/>
    </x:row>
    <x:row r="104">
      <x:c r="B104" s="12"/>
      <x:c r="C104" s="12"/>
      <x:c r="D104" s="12"/>
      <x:c r="E104" s="12"/>
      <x:c r="F104" s="12"/>
      <x:c r="G104" s="12"/>
      <x:c r="H104" s="12"/>
    </x:row>
    <x:row r="105">
      <x:c r="B105" s="12"/>
      <x:c r="C105" s="12"/>
      <x:c r="D105" s="12"/>
      <x:c r="E105" s="12"/>
      <x:c r="F105" s="12"/>
      <x:c r="G105" s="12"/>
      <x:c r="H105" s="12"/>
    </x:row>
    <x:row r="106">
      <x:c r="B106" s="12"/>
      <x:c r="C106" s="12"/>
      <x:c r="D106" s="12"/>
      <x:c r="E106" s="12"/>
      <x:c r="F106" s="12"/>
      <x:c r="G106" s="12"/>
      <x:c r="H106" s="12"/>
    </x:row>
    <x:row r="107">
      <x:c r="B107" s="12"/>
      <x:c r="C107" s="12"/>
      <x:c r="D107" s="12"/>
      <x:c r="E107" s="12"/>
      <x:c r="F107" s="12"/>
      <x:c r="G107" s="12"/>
      <x:c r="H107" s="12"/>
    </x:row>
    <x:row r="108">
      <x:c r="B108" s="12"/>
      <x:c r="C108" s="12"/>
      <x:c r="D108" s="12"/>
      <x:c r="E108" s="12"/>
      <x:c r="F108" s="12"/>
      <x:c r="G108" s="12"/>
      <x:c r="H108" s="12"/>
    </x:row>
    <x:row r="109">
      <x:c r="B109" s="12"/>
      <x:c r="C109" s="12"/>
      <x:c r="D109" s="12"/>
      <x:c r="E109" s="12"/>
      <x:c r="F109" s="12"/>
      <x:c r="G109" s="12"/>
      <x:c r="H109" s="12"/>
    </x:row>
    <x:row r="110">
      <x:c r="B110" s="12"/>
      <x:c r="C110" s="12"/>
      <x:c r="D110" s="12"/>
      <x:c r="E110" s="12"/>
      <x:c r="F110" s="12"/>
      <x:c r="G110" s="12"/>
      <x:c r="H110" s="12"/>
    </x:row>
    <x:row r="111">
      <x:c r="B111" s="12"/>
      <x:c r="C111" s="12"/>
      <x:c r="D111" s="12"/>
      <x:c r="E111" s="12"/>
      <x:c r="F111" s="12"/>
      <x:c r="G111" s="12"/>
      <x:c r="H111" s="12"/>
    </x:row>
    <x:row r="112">
      <x:c r="B112" s="12"/>
      <x:c r="C112" s="12"/>
      <x:c r="D112" s="12"/>
      <x:c r="E112" s="12"/>
      <x:c r="F112" s="12"/>
      <x:c r="G112" s="12"/>
      <x:c r="H112" s="12"/>
    </x:row>
    <x:row r="113">
      <x:c r="B113" s="12"/>
      <x:c r="C113" s="12"/>
      <x:c r="D113" s="12"/>
      <x:c r="E113" s="12"/>
      <x:c r="F113" s="12"/>
      <x:c r="G113" s="12"/>
      <x:c r="H113" s="12"/>
    </x:row>
    <x:row r="114">
      <x:c r="B114" s="12"/>
      <x:c r="C114" s="12"/>
      <x:c r="D114" s="12"/>
      <x:c r="E114" s="12"/>
      <x:c r="F114" s="12"/>
      <x:c r="G114" s="12"/>
      <x:c r="H114" s="12"/>
    </x:row>
    <x:row r="115">
      <x:c r="B115" s="12"/>
      <x:c r="C115" s="12"/>
      <x:c r="D115" s="12"/>
      <x:c r="E115" s="12"/>
      <x:c r="F115" s="12"/>
      <x:c r="G115" s="12"/>
      <x:c r="H115" s="12"/>
    </x:row>
    <x:row r="116">
      <x:c r="B116" s="12"/>
      <x:c r="C116" s="12"/>
      <x:c r="D116" s="12"/>
      <x:c r="E116" s="12"/>
      <x:c r="F116" s="12"/>
      <x:c r="G116" s="12"/>
      <x:c r="H116" s="12"/>
    </x:row>
    <x:row r="117">
      <x:c r="B117" s="12"/>
      <x:c r="C117" s="12"/>
      <x:c r="D117" s="12"/>
      <x:c r="E117" s="12"/>
      <x:c r="F117" s="12"/>
      <x:c r="G117" s="12"/>
      <x:c r="H117" s="12"/>
    </x:row>
    <x:row r="118">
      <x:c r="B118" s="12"/>
      <x:c r="C118" s="12"/>
      <x:c r="D118" s="12"/>
      <x:c r="E118" s="12"/>
      <x:c r="F118" s="12"/>
      <x:c r="G118" s="12"/>
      <x:c r="H118" s="12"/>
    </x:row>
    <x:row r="119">
      <x:c r="B119" s="12"/>
      <x:c r="C119" s="12"/>
      <x:c r="D119" s="12"/>
      <x:c r="E119" s="12"/>
      <x:c r="F119" s="12"/>
      <x:c r="G119" s="12"/>
      <x:c r="H119" s="12"/>
    </x:row>
    <x:row r="120">
      <x:c r="B120" s="12"/>
      <x:c r="C120" s="12"/>
      <x:c r="D120" s="12"/>
      <x:c r="E120" s="12"/>
      <x:c r="F120" s="12"/>
      <x:c r="G120" s="12"/>
      <x:c r="H120" s="12"/>
    </x:row>
    <x:row r="121">
      <x:c r="B121" s="12"/>
      <x:c r="C121" s="12"/>
      <x:c r="D121" s="12"/>
      <x:c r="E121" s="12"/>
      <x:c r="F121" s="12"/>
      <x:c r="G121" s="12"/>
      <x:c r="H121" s="12"/>
    </x:row>
    <x:row r="122">
      <x:c r="B122" s="12"/>
      <x:c r="C122" s="12"/>
      <x:c r="D122" s="12"/>
      <x:c r="E122" s="12"/>
      <x:c r="F122" s="12"/>
      <x:c r="G122" s="12"/>
      <x:c r="H122" s="12"/>
    </x:row>
    <x:row r="123">
      <x:c r="B123" s="12"/>
      <x:c r="C123" s="12"/>
      <x:c r="D123" s="12"/>
      <x:c r="E123" s="12"/>
      <x:c r="F123" s="12"/>
      <x:c r="G123" s="12"/>
      <x:c r="H123" s="12"/>
    </x:row>
    <x:row r="124">
      <x:c r="B124" s="12"/>
      <x:c r="C124" s="12"/>
      <x:c r="D124" s="12"/>
      <x:c r="E124" s="12"/>
      <x:c r="F124" s="12"/>
      <x:c r="G124" s="12"/>
      <x:c r="H124" s="12"/>
    </x:row>
    <x:row r="125">
      <x:c r="B125" s="12"/>
      <x:c r="C125" s="12"/>
      <x:c r="D125" s="12"/>
      <x:c r="E125" s="12"/>
      <x:c r="F125" s="12"/>
      <x:c r="G125" s="12"/>
      <x:c r="H125" s="12"/>
    </x:row>
  </x:sheetData>
  <x:mergeCells>
    <x:mergeCell ref="A1:J2"/>
    <x:mergeCell ref="A3:J3"/>
    <x:mergeCell ref="A12:J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51" hidden="0" customWidth="1"/>
    <x:col min="10" max="10" width="70" hidden="0" customWidth="1"/>
  </x:cols>
  <x:sheetData>
    <x:row r="1" ht="23" customHeight="1">
      <x:c r="A1" s="74" t="str">
        <x:v>SMSM | Live Validation &amp; Control Register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23" customHeight="1">
      <x:c r="A2" s="74"/>
      <x:c r="B2" s="74"/>
      <x:c r="C2" s="74"/>
      <x:c r="D2" s="74"/>
      <x:c r="E2" s="74"/>
      <x:c r="F2" s="74"/>
      <x:c r="G2" s="74"/>
      <x:c r="H2" s="74"/>
      <x:c r="I2" s="74"/>
      <x:c r="J2" s="74"/>
    </x:row>
    <x:row r="3" ht="25" customHeight="1">
      <x:c r="A3" s="75" t="str">
        <x:v>Formula-driven arithmetic checks + explicitly described economic assumptions</x:v>
      </x:c>
      <x:c r="B3" s="75"/>
      <x:c r="C3" s="75"/>
      <x:c r="D3" s="75"/>
      <x:c r="E3" s="75"/>
      <x:c r="F3" s="75"/>
      <x:c r="G3" s="75"/>
      <x:c r="H3" s="75"/>
      <x:c r="I3" s="75"/>
      <x:c r="J3" s="75"/>
    </x:row>
    <x:row r="5">
      <x:c r="B5" s="12"/>
      <x:c r="C5" s="12"/>
      <x:c r="D5" s="12"/>
      <x:c r="E5" s="12"/>
      <x:c r="F5" s="12"/>
      <x:c r="G5" s="12"/>
      <x:c r="H5" s="12"/>
    </x:row>
    <x:row r="6" ht="25" customHeight="1">
      <x:c r="A6" s="28" t="str">
        <x:v>Control</x:v>
      </x:c>
      <x:c r="B6" s="58" t="str">
        <x:v>Formula result (Rp m)</x:v>
      </x:c>
      <x:c r="C6" s="58" t="str">
        <x:v>Tolerance</x:v>
      </x:c>
      <x:c r="D6" s="58" t="str">
        <x:v>Auto status</x:v>
      </x:c>
      <x:c r="E6" s="58" t="str">
        <x:v>Materiality</x:v>
      </x:c>
      <x:c r="F6" s="58" t="str">
        <x:v>Resolution / interpretation</x:v>
      </x:c>
      <x:c r="G6" s="58" t="str">
        <x:v>Remaining work</x:v>
      </x:c>
      <x:c r="H6" s="58" t="str">
        <x:v>Source document</x:v>
      </x:c>
      <x:c r="I6" s="28" t="str">
        <x:v>Source URL</x:v>
      </x:c>
      <x:c r="J6" s="28" t="str">
        <x:v>Owner / stage</x:v>
      </x:c>
    </x:row>
    <x:row r="7">
      <x:c r="A7" s="50" t="str">
        <x:v>2025 BS accounting identity</x:v>
      </x:c>
      <x:c r="B7" s="44" t="n">
        <x:f>'06 Capital Structure'!D29</x:f>
        <x:v>0</x:v>
      </x:c>
      <x:c r="C7" s="36" t="n">
        <x:v>0</x:v>
      </x:c>
      <x:c r="D7" s="38" t="str">
        <x:f>IF(ABS(B7)&lt;=C7,"PASS","FAIL")</x:f>
        <x:v>PASS</x:v>
      </x:c>
      <x:c r="E7" s="12" t="str">
        <x:v>HIGH</x:v>
      </x:c>
      <x:c r="F7" s="20" t="str">
        <x:v>Audited BS ties to liabilities + equity</x:v>
      </x:c>
      <x:c r="G7" s="20" t="str">
        <x:v>None</x:v>
      </x:c>
      <x:c r="H7" s="20" t="str">
        <x:v>FY2025 annual</x:v>
      </x:c>
      <x:c r="I7" t="str">
        <x:v>https://smsm.co.id/uploads/attachment/Annual%20Report%20SMSM%202025.pdf</x:v>
      </x:c>
    </x:row>
    <x:row r="8">
      <x:c r="A8" s="50" t="str">
        <x:v>2026 H1 BS accounting identity</x:v>
      </x:c>
      <x:c r="B8" s="44" t="n">
        <x:f>'06 Capital Structure'!E29</x:f>
        <x:v>0</x:v>
      </x:c>
      <x:c r="C8" s="36" t="n">
        <x:v>0</x:v>
      </x:c>
      <x:c r="D8" s="38" t="str">
        <x:f>IF(ABS(B8)&lt;=C8,"PASS","FAIL")</x:f>
        <x:v>PASS</x:v>
      </x:c>
      <x:c r="E8" s="12" t="str">
        <x:v>HIGH</x:v>
      </x:c>
      <x:c r="F8" s="20" t="str">
        <x:v>Interim BS ties to liabilities + equity</x:v>
      </x:c>
      <x:c r="G8" s="20" t="str">
        <x:v>None</x:v>
      </x:c>
      <x:c r="H8" s="20" t="str">
        <x:v>H1 2026 interim</x:v>
      </x:c>
      <x:c r="I8" t="str">
        <x:v>https://smsm.co.id/uploads/attachment/Annual%20Report%20SMSM%202025.pdf</x:v>
      </x:c>
    </x:row>
    <x:row r="9">
      <x:c r="A9" s="50" t="str">
        <x:v>2025 equity attributable vs NCI</x:v>
      </x:c>
      <x:c r="B9" s="44" t="n">
        <x:f>'06 Capital Structure'!D30</x:f>
        <x:v>0</x:v>
      </x:c>
      <x:c r="C9" s="36" t="n">
        <x:v>0</x:v>
      </x:c>
      <x:c r="D9" s="38" t="str">
        <x:f>IF(ABS(B9)&lt;=C9,"PASS","FAIL")</x:f>
        <x:v>PASS</x:v>
      </x:c>
      <x:c r="E9" s="12" t="str">
        <x:v>HIGH</x:v>
      </x:c>
      <x:c r="F9" s="20" t="str">
        <x:v>Total equity = parent + NCI</x:v>
      </x:c>
      <x:c r="G9" s="20" t="str">
        <x:v>None</x:v>
      </x:c>
      <x:c r="H9" s="20" t="str">
        <x:v>FY2025 annual</x:v>
      </x:c>
      <x:c r="I9" t="str">
        <x:v>https://smsm.co.id/uploads/attachment/Annual%20Report%20SMSM%202025.pdf</x:v>
      </x:c>
    </x:row>
    <x:row r="10">
      <x:c r="A10" s="50" t="str">
        <x:v>2026 equity attributable vs NCI</x:v>
      </x:c>
      <x:c r="B10" s="44" t="n">
        <x:f>'06 Capital Structure'!E30</x:f>
        <x:v>0</x:v>
      </x:c>
      <x:c r="C10" s="36" t="n">
        <x:v>0</x:v>
      </x:c>
      <x:c r="D10" s="38" t="str">
        <x:f>IF(ABS(B10)&lt;=C10,"PASS","FAIL")</x:f>
        <x:v>PASS</x:v>
      </x:c>
      <x:c r="E10" s="12" t="str">
        <x:v>HIGH</x:v>
      </x:c>
      <x:c r="F10" s="20" t="str">
        <x:v>H1 total equity = parent + NCI</x:v>
      </x:c>
      <x:c r="G10" s="20" t="str">
        <x:v>None</x:v>
      </x:c>
      <x:c r="H10" s="20" t="str">
        <x:v>H1 2026 interim</x:v>
      </x:c>
      <x:c r="I10" t="str">
        <x:v>https://smsm.co.id/uploads/attachment/Annual%20Report%20SMSM%202025.pdf</x:v>
      </x:c>
    </x:row>
    <x:row r="11">
      <x:c r="A11" s="50" t="str">
        <x:v>2022 opening operating CA reconciliation</x:v>
      </x:c>
      <x:c r="B11" s="44" t="n">
        <x:f>'04 Working Capital'!B34</x:f>
        <x:v>0</x:v>
      </x:c>
      <x:c r="C11" s="36" t="n">
        <x:v>0</x:v>
      </x:c>
      <x:c r="D11" s="38" t="str">
        <x:f>IF(ABS(B11)&lt;=C11,"PASS","FAIL")</x:f>
        <x:v>PASS</x:v>
      </x:c>
      <x:c r="E11" s="12" t="str">
        <x:v>HIGH</x:v>
      </x:c>
      <x:c r="F11" s="20" t="str">
        <x:v>2022 restated opening current assets tie</x:v>
      </x:c>
      <x:c r="G11" s="20" t="str">
        <x:v>None</x:v>
      </x:c>
      <x:c r="H11" s="20" t="str">
        <x:v>FY2024 audited</x:v>
      </x:c>
      <x:c r="I11" t="str">
        <x:v>https://smsm.co.id/uploads/attachment/Annual%20Report%20SMSM%202025.pdf</x:v>
      </x:c>
    </x:row>
    <x:row r="12">
      <x:c r="A12" s="50" t="str">
        <x:v>2023 operating CA reconciliation</x:v>
      </x:c>
      <x:c r="B12" s="44" t="n">
        <x:f>'04 Working Capital'!C34</x:f>
        <x:v>0</x:v>
      </x:c>
      <x:c r="C12" s="36" t="n">
        <x:v>0</x:v>
      </x:c>
      <x:c r="D12" s="38" t="str">
        <x:f>IF(ABS(B12)&lt;=C12,"PASS","FAIL")</x:f>
        <x:v>PASS</x:v>
      </x:c>
      <x:c r="E12" s="12" t="str">
        <x:v>HIGH</x:v>
      </x:c>
      <x:c r="F12" s="20" t="str">
        <x:v>2023 restated current assets tie</x:v>
      </x:c>
      <x:c r="G12" s="20" t="str">
        <x:v>None</x:v>
      </x:c>
      <x:c r="H12" s="20" t="str">
        <x:v>FY2024 audited</x:v>
      </x:c>
      <x:c r="I12" t="str">
        <x:v>https://smsm.co.id/uploads/attachment/Annual%20Report%20SMSM%202025.pdf</x:v>
      </x:c>
    </x:row>
    <x:row r="13">
      <x:c r="A13" s="50" t="str">
        <x:v>2024 operating CA reconciliation</x:v>
      </x:c>
      <x:c r="B13" s="44" t="n">
        <x:f>'04 Working Capital'!D34</x:f>
        <x:v>0</x:v>
      </x:c>
      <x:c r="C13" s="36" t="n">
        <x:v>0</x:v>
      </x:c>
      <x:c r="D13" s="38" t="str">
        <x:f>IF(ABS(B13)&lt;=C13,"PASS","FAIL")</x:f>
        <x:v>PASS</x:v>
      </x:c>
      <x:c r="E13" s="12" t="str">
        <x:v>HIGH</x:v>
      </x:c>
      <x:c r="F13" s="20" t="str">
        <x:v>2024 current assets tie</x:v>
      </x:c>
      <x:c r="G13" s="20" t="str">
        <x:v>None</x:v>
      </x:c>
      <x:c r="H13" s="20" t="str">
        <x:v>FY2025 audited</x:v>
      </x:c>
      <x:c r="I13" t="str">
        <x:v>https://smsm.co.id/uploads/attachment/Annual%20Report%20SMSM%202025.pdf</x:v>
      </x:c>
    </x:row>
    <x:row r="14">
      <x:c r="A14" s="50" t="str">
        <x:v>2025 operating CA reconciliation</x:v>
      </x:c>
      <x:c r="B14" s="44" t="n">
        <x:f>'04 Working Capital'!E34</x:f>
        <x:v>0</x:v>
      </x:c>
      <x:c r="C14" s="36" t="n">
        <x:v>0</x:v>
      </x:c>
      <x:c r="D14" s="38" t="str">
        <x:f>IF(ABS(B14)&lt;=C14,"PASS","FAIL")</x:f>
        <x:v>PASS</x:v>
      </x:c>
      <x:c r="E14" s="12" t="str">
        <x:v>HIGH</x:v>
      </x:c>
      <x:c r="F14" s="20" t="str">
        <x:v>2025 current assets tie</x:v>
      </x:c>
      <x:c r="G14" s="20" t="str">
        <x:v>None</x:v>
      </x:c>
      <x:c r="H14" s="20" t="str">
        <x:v>FY2025 audited</x:v>
      </x:c>
      <x:c r="I14" t="str">
        <x:v>https://smsm.co.id/uploads/attachment/Annual%20Report%20SMSM%202025.pdf</x:v>
      </x:c>
    </x:row>
    <x:row r="15">
      <x:c r="A15" s="50" t="str">
        <x:v>2026 operating CA reconciliation</x:v>
      </x:c>
      <x:c r="B15" s="44" t="n">
        <x:f>'04 Working Capital'!F34</x:f>
        <x:v>0</x:v>
      </x:c>
      <x:c r="C15" s="36" t="n">
        <x:v>0</x:v>
      </x:c>
      <x:c r="D15" s="38" t="str">
        <x:f>IF(ABS(B15)&lt;=C15,"PASS","FAIL")</x:f>
        <x:v>PASS</x:v>
      </x:c>
      <x:c r="E15" s="12" t="str">
        <x:v>HIGH</x:v>
      </x:c>
      <x:c r="F15" s="20" t="str">
        <x:v>H1 current assets tie</x:v>
      </x:c>
      <x:c r="G15" s="20" t="str">
        <x:v>None</x:v>
      </x:c>
      <x:c r="H15" s="20" t="str">
        <x:v>H1 2026 interim</x:v>
      </x:c>
      <x:c r="I15" t="str">
        <x:v>https://smsm.co.id/uploads/attachment/Annual%20Report%20SMSM%202025.pdf</x:v>
      </x:c>
    </x:row>
    <x:row r="16">
      <x:c r="A16" s="50" t="str">
        <x:v>2022 opening operating CL reconciliation</x:v>
      </x:c>
      <x:c r="B16" s="44" t="n">
        <x:f>'04 Working Capital'!B39</x:f>
        <x:v>0</x:v>
      </x:c>
      <x:c r="C16" s="36" t="n">
        <x:v>0</x:v>
      </x:c>
      <x:c r="D16" s="38" t="str">
        <x:f>IF(ABS(B16)&lt;=C16,"PASS","FAIL")</x:f>
        <x:v>PASS</x:v>
      </x:c>
      <x:c r="E16" s="12" t="str">
        <x:v>HIGH</x:v>
      </x:c>
      <x:c r="F16" s="20" t="str">
        <x:v>2022 restated opening CL tie</x:v>
      </x:c>
      <x:c r="G16" s="20" t="str">
        <x:v>None</x:v>
      </x:c>
      <x:c r="H16" s="20" t="str">
        <x:v>FY2024 audited</x:v>
      </x:c>
      <x:c r="I16" t="str">
        <x:v>https://smsm.co.id/uploads/attachment/Annual%20Report%20SMSM%202025.pdf</x:v>
      </x:c>
    </x:row>
    <x:row r="17">
      <x:c r="A17" s="50" t="str">
        <x:v>2023 operating CL reconciliation</x:v>
      </x:c>
      <x:c r="B17" s="44" t="n">
        <x:f>'04 Working Capital'!C39</x:f>
        <x:v>0</x:v>
      </x:c>
      <x:c r="C17" s="36" t="n">
        <x:v>0</x:v>
      </x:c>
      <x:c r="D17" s="38" t="str">
        <x:f>IF(ABS(B17)&lt;=C17,"PASS","FAIL")</x:f>
        <x:v>PASS</x:v>
      </x:c>
      <x:c r="E17" s="12" t="str">
        <x:v>HIGH</x:v>
      </x:c>
      <x:c r="F17" s="20" t="str">
        <x:v>2023 restated CL tie</x:v>
      </x:c>
      <x:c r="G17" s="20" t="str">
        <x:v>None</x:v>
      </x:c>
      <x:c r="H17" s="20" t="str">
        <x:v>FY2024 audited</x:v>
      </x:c>
      <x:c r="I17" t="str">
        <x:v>https://smsm.co.id/uploads/attachment/Annual%20Report%20SMSM%202025.pdf</x:v>
      </x:c>
    </x:row>
    <x:row r="18">
      <x:c r="A18" s="50" t="str">
        <x:v>2024 operating CL reconciliation</x:v>
      </x:c>
      <x:c r="B18" s="44" t="n">
        <x:f>'04 Working Capital'!D39</x:f>
        <x:v>0</x:v>
      </x:c>
      <x:c r="C18" s="36" t="n">
        <x:v>0</x:v>
      </x:c>
      <x:c r="D18" s="38" t="str">
        <x:f>IF(ABS(B18)&lt;=C18,"PASS","FAIL")</x:f>
        <x:v>PASS</x:v>
      </x:c>
      <x:c r="E18" s="12" t="str">
        <x:v>HIGH</x:v>
      </x:c>
      <x:c r="F18" s="20" t="str">
        <x:v>2024 CL tie</x:v>
      </x:c>
      <x:c r="G18" s="20" t="str">
        <x:v>None</x:v>
      </x:c>
      <x:c r="H18" s="20" t="str">
        <x:v>FY2025 audited</x:v>
      </x:c>
      <x:c r="I18" t="str">
        <x:v>https://smsm.co.id/uploads/attachment/Annual%20Report%20SMSM%202025.pdf</x:v>
      </x:c>
    </x:row>
    <x:row r="19">
      <x:c r="A19" s="50" t="str">
        <x:v>2025 operating CL reconciliation</x:v>
      </x:c>
      <x:c r="B19" s="44" t="n">
        <x:f>'04 Working Capital'!E39</x:f>
        <x:v>0</x:v>
      </x:c>
      <x:c r="C19" s="36" t="n">
        <x:v>0</x:v>
      </x:c>
      <x:c r="D19" s="38" t="str">
        <x:f>IF(ABS(B19)&lt;=C19,"PASS","FAIL")</x:f>
        <x:v>PASS</x:v>
      </x:c>
      <x:c r="E19" s="12" t="str">
        <x:v>HIGH</x:v>
      </x:c>
      <x:c r="F19" s="20" t="str">
        <x:v>2025 CL tie</x:v>
      </x:c>
      <x:c r="G19" s="20" t="str">
        <x:v>None</x:v>
      </x:c>
      <x:c r="H19" s="20" t="str">
        <x:v>FY2025 audited</x:v>
      </x:c>
      <x:c r="I19" t="str">
        <x:v>https://smsm.co.id/uploads/attachment/Annual%20Report%20SMSM%202025.pdf</x:v>
      </x:c>
    </x:row>
    <x:row r="20">
      <x:c r="A20" s="50" t="str">
        <x:v>2026 operating CL reconciliation</x:v>
      </x:c>
      <x:c r="B20" s="44" t="n">
        <x:f>'04 Working Capital'!F39</x:f>
        <x:v>0</x:v>
      </x:c>
      <x:c r="C20" s="36" t="n">
        <x:v>0</x:v>
      </x:c>
      <x:c r="D20" s="38" t="str">
        <x:f>IF(ABS(B20)&lt;=C20,"PASS","FAIL")</x:f>
        <x:v>PASS</x:v>
      </x:c>
      <x:c r="E20" s="12" t="str">
        <x:v>HIGH</x:v>
      </x:c>
      <x:c r="F20" s="20" t="str">
        <x:v>H1 CL tie</x:v>
      </x:c>
      <x:c r="G20" s="20" t="str">
        <x:v>None</x:v>
      </x:c>
      <x:c r="H20" s="20" t="str">
        <x:v>H1 2026 interim</x:v>
      </x:c>
      <x:c r="I20" t="str">
        <x:v>https://smsm.co.id/uploads/attachment/Annual%20Report%20SMSM%202025.pdf</x:v>
      </x:c>
    </x:row>
    <x:row r="21">
      <x:c r="A21" s="50" t="str">
        <x:v>2025 fixed-asset cash/accrual bridge</x:v>
      </x:c>
      <x:c r="B21" s="44" t="n">
        <x:f>'05 CapEx &amp; Reinvestment'!C24</x:f>
        <x:v>1</x:v>
      </x:c>
      <x:c r="C21" s="36" t="n">
        <x:v>1</x:v>
      </x:c>
      <x:c r="D21" s="38" t="str">
        <x:f>IF(ABS(B21)&lt;=C21,"PASS","FAIL")</x:f>
        <x:v>PASS</x:v>
      </x:c>
      <x:c r="E21" s="12" t="str">
        <x:v>HIGH</x:v>
      </x:c>
      <x:c r="F21" s="20" t="str">
        <x:v>241,778 additions ~ cash 205,041 + advance run-down 36,736</x:v>
      </x:c>
      <x:c r="G21" s="20" t="str">
        <x:v>None</x:v>
      </x:c>
      <x:c r="H21" s="20" t="str">
        <x:v>FY2025 audited Note 9</x:v>
      </x:c>
      <x:c r="I21" t="str">
        <x:v>https://smsm.co.id/uploads/attachment/Annual%20Report%20SMSM%202025.pdf</x:v>
      </x:c>
    </x:row>
    <x:row r="22">
      <x:c r="A22" s="50" t="str">
        <x:v>2026 fixed-asset cash/accrual bridge</x:v>
      </x:c>
      <x:c r="B22" s="44" t="n">
        <x:f>'05 CapEx &amp; Reinvestment'!D24</x:f>
        <x:v>-1</x:v>
      </x:c>
      <x:c r="C22" s="36" t="n">
        <x:v>1</x:v>
      </x:c>
      <x:c r="D22" s="38" t="str">
        <x:f>IF(ABS(B22)&lt;=C22,"PASS","FAIL")</x:f>
        <x:v>PASS</x:v>
      </x:c>
      <x:c r="E22" s="12" t="str">
        <x:v>HIGH</x:v>
      </x:c>
      <x:c r="F22" s="20" t="str">
        <x:v>110,297 additions ~ cash 97,188 + advance run-down 13,110</x:v>
      </x:c>
      <x:c r="G22" s="20" t="str">
        <x:v>None</x:v>
      </x:c>
      <x:c r="H22" s="20" t="str">
        <x:v>H1 2026 Note 8</x:v>
      </x:c>
      <x:c r="I22" t="str">
        <x:v>https://smsm.co.id/uploads/attachment/Annual%20Report%20SMSM%202025.pdf</x:v>
      </x:c>
    </x:row>
    <x:row r="23">
      <x:c r="A23" s="50" t="str">
        <x:v>2024 fixed-asset cash/accrual bridge — materiality tolerance</x:v>
      </x:c>
      <x:c r="B23" s="44" t="n">
        <x:f>'05 CapEx &amp; Reinvestment'!B24</x:f>
        <x:v>541</x:v>
      </x:c>
      <x:c r="C23" s="36" t="n">
        <x:v>1000</x:v>
      </x:c>
      <x:c r="D23" s="38" t="str">
        <x:f>IF(ABS(B23)&lt;=C23,"PASS","FAIL")</x:f>
        <x:v>PASS</x:v>
      </x:c>
      <x:c r="E23" s="12" t="str">
        <x:v>MODERATE</x:v>
      </x:c>
      <x:c r="F23" s="20" t="str">
        <x:v>Gross additions 191,439 vs implied 190,898; residual 541m (&lt;0.3%)</x:v>
      </x:c>
      <x:c r="G23" s="20" t="str">
        <x:v>Disclosed as non-zero residual; avoid forcing zero</x:v>
      </x:c>
      <x:c r="H23" s="20" t="str">
        <x:v>FY2024 audited Note 9 and cash-flow statement</x:v>
      </x:c>
      <x:c r="I23" t="str">
        <x:v>https://smsm.co.id/uploads/attachment/LK%20PT%20Selamat%20Sempurna%20Tbk%20per%2031%20Desember%202024.pdf</x:v>
      </x:c>
    </x:row>
    <x:row r="24" ht="23" customHeight="1">
      <x:c r="A24" s="51" t="str">
        <x:v>ECONOMIC VALIDATION / DOCUMENTED ASSUMPTIONS (NOT AUTO-PASS ITEMS)</x:v>
      </x:c>
      <x:c r="B24" s="16"/>
      <x:c r="C24" s="16"/>
      <x:c r="D24" s="16"/>
      <x:c r="E24" s="16"/>
      <x:c r="F24" s="72"/>
      <x:c r="G24" s="72"/>
      <x:c r="H24" s="72"/>
      <x:c r="I24" s="15"/>
      <x:c r="J24" s="15"/>
    </x:row>
    <x:row r="25" ht="35" customHeight="1">
      <x:c r="A25" s="56" t="str">
        <x:v>Tax method</x:v>
      </x:c>
      <x:c r="B25" s="20"/>
      <x:c r="C25" s="20"/>
      <x:c r="D25" s="20" t="str">
        <x:v>Closed with Documented Assumption</x:v>
      </x:c>
      <x:c r="E25" s="20" t="str">
        <x:v>MODERATE</x:v>
      </x:c>
      <x:c r="F25" s="20" t="str">
        <x:v>Observed consolidated ETR used only as diagnostic; normalized future tax rate chosen in Stage 3</x:v>
      </x:c>
      <x:c r="G25" s="20" t="str">
        <x:v>See source/assumption log</x:v>
      </x:c>
      <x:c r="H25" s="20"/>
      <x:c r="I25" s="21"/>
      <x:c r="J25" s="21"/>
    </x:row>
    <x:row r="26" ht="35" customHeight="1">
      <x:c r="A26" s="56" t="str">
        <x:v>Operating NWC classification</x:v>
      </x:c>
      <x:c r="B26" s="20"/>
      <x:c r="C26" s="20"/>
      <x:c r="D26" s="20" t="str">
        <x:v>Closed with Documented Assumption</x:v>
      </x:c>
      <x:c r="E26" s="20" t="str">
        <x:v>MODERATE</x:v>
      </x:c>
      <x:c r="F26" s="20" t="str">
        <x:v>Other operating receivables and current accruals included; taxes/debt excluded</x:v>
      </x:c>
      <x:c r="G26" s="20" t="str">
        <x:v>See source/assumption log</x:v>
      </x:c>
      <x:c r="H26" s="20"/>
      <x:c r="I26" s="21"/>
      <x:c r="J26" s="21"/>
    </x:row>
    <x:row r="27" ht="35" customHeight="1">
      <x:c r="A27" s="56" t="str">
        <x:v>Capital investment proxy</x:v>
      </x:c>
      <x:c r="B27" s="20"/>
      <x:c r="C27" s="20"/>
      <x:c r="D27" s="20" t="str">
        <x:v>Closed with Documented Assumption</x:v>
      </x:c>
      <x:c r="E27" s="20" t="str">
        <x:v>HIGH</x:v>
      </x:c>
      <x:c r="F27" s="20" t="str">
        <x:v>Use gross PPE additions reconciled to cash and advances; ROU accounted separately</x:v>
      </x:c>
      <x:c r="G27" s="20" t="str">
        <x:v>See source/assumption log</x:v>
      </x:c>
      <x:c r="H27" s="20"/>
      <x:c r="I27" s="21"/>
      <x:c r="J27" s="21"/>
    </x:row>
    <x:row r="28" ht="35" customHeight="1">
      <x:c r="A28" s="56" t="str">
        <x:v>Fixed-asset sales normalized</x:v>
      </x:c>
      <x:c r="B28" s="20"/>
      <x:c r="C28" s="20"/>
      <x:c r="D28" s="20" t="str">
        <x:v>Closed with Documented Assumption</x:v>
      </x:c>
      <x:c r="E28" s="20" t="str">
        <x:v>LOW</x:v>
      </x:c>
      <x:c r="F28" s="20" t="str">
        <x:v>Routine small PPE disposal gains retained; property sale 2026 normalized</x:v>
      </x:c>
      <x:c r="G28" s="20" t="str">
        <x:v>See source/assumption log</x:v>
      </x:c>
      <x:c r="H28" s="20"/>
      <x:c r="I28" s="21"/>
      <x:c r="J28" s="21"/>
    </x:row>
    <x:row r="29" ht="35" customHeight="1">
      <x:c r="A29" s="56" t="str">
        <x:v>Investment-property sale H1 2026</x:v>
      </x:c>
      <x:c r="B29" s="20"/>
      <x:c r="C29" s="20"/>
      <x:c r="D29" s="20" t="str">
        <x:v>Closed with Documented Assumption</x:v>
      </x:c>
      <x:c r="E29" s="20" t="str">
        <x:v>MODERATE</x:v>
      </x:c>
      <x:c r="F29" s="20" t="str">
        <x:v>Rp24,436m gain excluded from normalized EBIT; ordinary 19% tax NOT applied to final-tax gain</x:v>
      </x:c>
      <x:c r="G29" s="20" t="str">
        <x:v>See source/assumption log</x:v>
      </x:c>
      <x:c r="H29" s="20"/>
      <x:c r="I29" s="21"/>
      <x:c r="J29" s="21"/>
    </x:row>
    <x:row r="30" ht="35" customHeight="1">
      <x:c r="A30" s="56" t="str">
        <x:v>NCI economic valuation</x:v>
      </x:c>
      <x:c r="B30" s="20"/>
      <x:c r="C30" s="20"/>
      <x:c r="D30" s="20" t="str">
        <x:v>Closed with Documented Assumption</x:v>
      </x:c>
      <x:c r="E30" s="20" t="str">
        <x:v>MODERATE</x:v>
      </x:c>
      <x:c r="F30" s="20" t="str">
        <x:v>Book NCI as benchmark and apply sensitivity; do not claim market fair value</x:v>
      </x:c>
      <x:c r="G30" s="20" t="str">
        <x:v>See source/assumption log</x:v>
      </x:c>
      <x:c r="H30" s="20"/>
      <x:c r="I30" s="21"/>
      <x:c r="J30" s="21"/>
    </x:row>
    <x:row r="31" ht="35" customHeight="1">
      <x:c r="A31" s="56" t="str">
        <x:v>Associate investment value</x:v>
      </x:c>
      <x:c r="B31" s="20"/>
      <x:c r="C31" s="20"/>
      <x:c r="D31" s="20" t="str">
        <x:v>Closed with Documented Assumption</x:v>
      </x:c>
      <x:c r="E31" s="20" t="str">
        <x:v>LOW</x:v>
      </x:c>
      <x:c r="F31" s="20" t="str">
        <x:v>Book net investment as proxy; sensitivities if material</x:v>
      </x:c>
      <x:c r="G31" s="20" t="str">
        <x:v>See source/assumption log</x:v>
      </x:c>
      <x:c r="H31" s="20"/>
      <x:c r="I31" s="21"/>
      <x:c r="J31" s="21"/>
    </x:row>
    <x:row r="32" ht="35" customHeight="1">
      <x:c r="A32" s="56" t="str">
        <x:v>Other share investments / derivatives</x:v>
      </x:c>
      <x:c r="B32" s="20"/>
      <x:c r="C32" s="20"/>
      <x:c r="D32" s="20" t="str">
        <x:v>Open</x:v>
      </x:c>
      <x:c r="E32" s="20" t="str">
        <x:v>MODERATE</x:v>
      </x:c>
      <x:c r="F32" s="20" t="str">
        <x:v>Distinguish operating hedges from market claims; do not double count</x:v>
      </x:c>
      <x:c r="G32" s="20" t="str">
        <x:v>See source/assumption log</x:v>
      </x:c>
      <x:c r="H32" s="20"/>
      <x:c r="I32" s="21"/>
      <x:c r="J32" s="21"/>
    </x:row>
    <x:row r="33" ht="35" customHeight="1">
      <x:c r="A33" s="56" t="str">
        <x:v>Dividend payable June→October</x:v>
      </x:c>
      <x:c r="B33" s="20"/>
      <x:c r="C33" s="20"/>
      <x:c r="D33" s="20" t="str">
        <x:v>Closed with Documented Assumption</x:v>
      </x:c>
      <x:c r="E33" s="20" t="str">
        <x:v>MODERATE</x:v>
      </x:c>
      <x:c r="F33" s="20" t="str">
        <x:v>IR calendar verifies final FY2025 paid 02 Jul 2026; 2026 interim II paid 27 Aug 2026; no June payable carried into Oct equity bridge.</x:v>
      </x:c>
      <x:c r="G33" s="20" t="str">
        <x:v>Retain historic Jun payable but no automatic Oct bridge deduction; confirm any additional distributions after Aug.</x:v>
      </x:c>
      <x:c r="H33" s="20"/>
      <x:c r="I33" s="21" t="str">
        <x:v>https://www.smsm.co.id/caldividend.php</x:v>
      </x:c>
      <x:c r="J33" s="21"/>
    </x:row>
    <x:row r="34" ht="35" customHeight="1">
      <x:c r="A34" s="56" t="str">
        <x:v>Sept 2026 share register</x:v>
      </x:c>
      <x:c r="B34" s="20"/>
      <x:c r="C34" s="20"/>
      <x:c r="D34" s="20" t="str">
        <x:v>Closed with Documented Assumption</x:v>
      </x:c>
      <x:c r="E34" s="20" t="str">
        <x:v>MODERATE</x:v>
      </x:c>
      <x:c r="F34" s="20" t="str">
        <x:v>KSEI registered SMSM common securities = 5,758,675,440; no contemporaneous share issuance found.</x:v>
      </x:c>
      <x:c r="G34" s="20" t="str">
        <x:v>Dated 23-Oct full treasury/dilution status not fully established; June issued count provisionally used.</x:v>
      </x:c>
      <x:c r="H34" s="20"/>
      <x:c r="I34" s="21" t="str">
        <x:v>https://web.ksei.co.id/services/registered-securities/shares/lc/SMSM</x:v>
      </x:c>
      <x:c r="J34" s="21"/>
    </x:row>
    <x:row r="35" ht="35" customHeight="1">
      <x:c r="A35" s="56" t="str">
        <x:v>Official IDX 23 Oct 2026 price</x:v>
      </x:c>
      <x:c r="B35" s="20"/>
      <x:c r="C35" s="20"/>
      <x:c r="D35" s="20" t="str">
        <x:v>Open</x:v>
      </x:c>
      <x:c r="E35" s="20" t="str">
        <x:v>LOW</x:v>
      </x:c>
      <x:c r="F35" s="20" t="str">
        <x:v>Rp1,670 independently corroborated by FT, Investing and StockAnalysis; official extract not available</x:v>
      </x:c>
      <x:c r="G35" s="20" t="str">
        <x:v>See source/assumption log</x:v>
      </x:c>
      <x:c r="H35" s="20"/>
      <x:c r="I35" s="21"/>
      <x:c r="J35" s="21"/>
    </x:row>
    <x:row r="36" ht="35" customHeight="1">
      <x:c r="A36" s="56" t="str">
        <x:v>Comparable accounting alignment</x:v>
      </x:c>
      <x:c r="B36" s="20"/>
      <x:c r="C36" s="20"/>
      <x:c r="D36" s="20" t="str">
        <x:v>Open</x:v>
      </x:c>
      <x:c r="E36" s="20" t="str">
        <x:v>MODERATE</x:v>
      </x:c>
      <x:c r="F36" s="20" t="str">
        <x:v>Complete AT MU/DCI/AUTO filings at consistent TTM and claimholder definitions during Stage 3</x:v>
      </x:c>
      <x:c r="G36" s="20" t="str">
        <x:v>See source/assumption log</x:v>
      </x:c>
      <x:c r="H36" s="20"/>
      <x:c r="I36" s="21"/>
      <x:c r="J36" s="21"/>
    </x:row>
    <x:row r="37">
      <x:c r="A37" s="50"/>
      <x:c r="B37" s="12"/>
      <x:c r="C37" s="12"/>
      <x:c r="D37" s="12"/>
      <x:c r="E37" s="12"/>
      <x:c r="F37" s="12"/>
      <x:c r="G37" s="20"/>
      <x:c r="H37" s="20"/>
    </x:row>
    <x:row r="38">
      <x:c r="A38" s="50"/>
      <x:c r="B38" s="12"/>
      <x:c r="C38" s="12"/>
      <x:c r="D38" s="12"/>
      <x:c r="E38" s="12"/>
      <x:c r="F38" s="12"/>
      <x:c r="G38" s="20"/>
      <x:c r="H38" s="20"/>
    </x:row>
    <x:row r="39">
      <x:c r="A39" s="50"/>
      <x:c r="B39" s="12"/>
      <x:c r="C39" s="12"/>
      <x:c r="D39" s="12"/>
      <x:c r="E39" s="12"/>
      <x:c r="F39" s="12"/>
      <x:c r="G39" s="20"/>
      <x:c r="H39" s="20"/>
    </x:row>
    <x:row r="40">
      <x:c r="A40" s="50" t="str">
        <x:v>Automated arithmetic checks passed</x:v>
      </x:c>
      <x:c r="B40" s="38" t="n">
        <x:f>COUNTIF(D7:D23,"PASS")</x:f>
        <x:v>17</x:v>
      </x:c>
      <x:c r="C40" s="12"/>
      <x:c r="D40" s="12"/>
      <x:c r="E40" s="12"/>
      <x:c r="F40" s="12"/>
      <x:c r="G40" s="20"/>
      <x:c r="H40" s="20"/>
    </x:row>
    <x:row r="41">
      <x:c r="A41" s="50" t="str">
        <x:v>Automated arithmetic checks failed</x:v>
      </x:c>
      <x:c r="B41" s="38" t="n">
        <x:f>COUNTIF(D7:D23,"FAIL")</x:f>
        <x:v>0</x:v>
      </x:c>
      <x:c r="C41" s="12"/>
      <x:c r="D41" s="12"/>
      <x:c r="E41" s="12"/>
      <x:c r="F41" s="12"/>
      <x:c r="G41" s="12"/>
      <x:c r="H41" s="12"/>
    </x:row>
    <x:row r="42">
      <x:c r="A42" s="50" t="str">
        <x:v>Total numerical checks</x:v>
      </x:c>
      <x:c r="B42" s="38" t="n">
        <x:f>COUNTA(A7:A23)</x:f>
        <x:v>17</x:v>
      </x:c>
      <x:c r="C42" s="12"/>
      <x:c r="D42" s="12"/>
      <x:c r="E42" s="12"/>
      <x:c r="F42" s="12"/>
      <x:c r="G42" s="12"/>
      <x:c r="H42" s="12"/>
    </x:row>
    <x:row r="43">
      <x:c r="A43" s="50" t="str">
        <x:v>FY2023 restated fixed-asset accrual bridge residual</x:v>
      </x:c>
      <x:c r="B43" s="44" t="n">
        <x:f>'05 CapEx &amp; Reinvestment'!B41</x:f>
        <x:v>580</x:v>
      </x:c>
      <x:c r="C43" s="12" t="str">
        <x:v>0.40% of 2023 additions; not forced to zero</x:v>
      </x:c>
      <x:c r="D43" s="12" t="str">
        <x:v>Closed with Documented Assumption</x:v>
      </x:c>
      <x:c r="E43" s="12"/>
      <x:c r="F43" s="12"/>
      <x:c r="G43" s="12"/>
      <x:c r="H43" s="12"/>
    </x:row>
    <x:row r="44">
      <x:c r="A44" s="50"/>
      <x:c r="B44" s="12"/>
      <x:c r="C44" s="12"/>
      <x:c r="D44" s="12"/>
      <x:c r="E44" s="12"/>
      <x:c r="F44" s="12"/>
      <x:c r="G44" s="12"/>
      <x:c r="H44" s="12"/>
    </x:row>
    <x:row r="45">
      <x:c r="A45" s="50"/>
      <x:c r="B45" s="12"/>
      <x:c r="C45" s="12"/>
      <x:c r="D45" s="12"/>
      <x:c r="E45" s="12"/>
      <x:c r="F45" s="12"/>
      <x:c r="G45" s="12"/>
      <x:c r="H45" s="12"/>
    </x:row>
    <x:row r="46" ht="32" customHeight="1">
      <x:c r="A46" s="56" t="str">
        <x:v>'PASS' only verifies arithmetic; classifications, market-to-book economic claims, and cutoff assumptions are separate controls.</x:v>
      </x:c>
      <x:c r="B46" s="20"/>
      <x:c r="C46" s="20"/>
      <x:c r="D46" s="20"/>
      <x:c r="E46" s="20"/>
      <x:c r="F46" s="20"/>
      <x:c r="G46" s="20"/>
      <x:c r="H46" s="20"/>
      <x:c r="I46" s="21"/>
      <x:c r="J46" s="21"/>
    </x:row>
    <x:row r="47">
      <x:c r="A47" s="50"/>
      <x:c r="B47" s="12"/>
      <x:c r="C47" s="12"/>
      <x:c r="D47" s="12"/>
      <x:c r="E47" s="12"/>
      <x:c r="F47" s="12"/>
      <x:c r="G47" s="12"/>
      <x:c r="H47" s="12"/>
    </x:row>
    <x:row r="48">
      <x:c r="A48" s="50"/>
      <x:c r="B48" s="12"/>
      <x:c r="C48" s="12"/>
      <x:c r="D48" s="12"/>
      <x:c r="E48" s="12"/>
      <x:c r="F48" s="12"/>
      <x:c r="G48" s="12"/>
      <x:c r="H48" s="12"/>
    </x:row>
    <x:row r="49">
      <x:c r="A49" s="50"/>
      <x:c r="B49" s="12"/>
      <x:c r="C49" s="12"/>
      <x:c r="D49" s="12"/>
      <x:c r="E49" s="12"/>
      <x:c r="F49" s="12"/>
      <x:c r="G49" s="12"/>
      <x:c r="H49" s="12"/>
    </x:row>
    <x:row r="50">
      <x:c r="A50" s="50"/>
      <x:c r="B50" s="12"/>
      <x:c r="C50" s="12"/>
      <x:c r="D50" s="12"/>
      <x:c r="E50" s="12"/>
      <x:c r="F50" s="12"/>
      <x:c r="G50" s="12"/>
      <x:c r="H50" s="12"/>
    </x:row>
    <x:row r="51">
      <x:c r="A51" s="50"/>
      <x:c r="B51" s="12"/>
      <x:c r="C51" s="12"/>
      <x:c r="D51" s="12"/>
      <x:c r="E51" s="12"/>
      <x:c r="F51" s="12"/>
      <x:c r="G51" s="12"/>
      <x:c r="H51" s="12"/>
    </x:row>
    <x:row r="52">
      <x:c r="A52" s="50"/>
      <x:c r="B52" s="12"/>
      <x:c r="C52" s="12"/>
      <x:c r="D52" s="12"/>
      <x:c r="E52" s="12"/>
      <x:c r="F52" s="12"/>
      <x:c r="G52" s="12"/>
      <x:c r="H52" s="12"/>
    </x:row>
    <x:row r="53">
      <x:c r="A53" s="50"/>
      <x:c r="B53" s="12"/>
      <x:c r="C53" s="12"/>
      <x:c r="D53" s="12"/>
      <x:c r="E53" s="12"/>
      <x:c r="F53" s="12"/>
      <x:c r="G53" s="12"/>
      <x:c r="H53" s="12"/>
    </x:row>
    <x:row r="54">
      <x:c r="A54" s="50"/>
      <x:c r="B54" s="12"/>
      <x:c r="C54" s="12"/>
      <x:c r="D54" s="12"/>
      <x:c r="E54" s="12"/>
      <x:c r="F54" s="12"/>
      <x:c r="G54" s="12"/>
      <x:c r="H54" s="12"/>
    </x:row>
    <x:row r="55">
      <x:c r="A55" s="50"/>
      <x:c r="B55" s="12"/>
      <x:c r="C55" s="12"/>
      <x:c r="D55" s="12"/>
      <x:c r="E55" s="12"/>
      <x:c r="F55" s="12"/>
      <x:c r="G55" s="12"/>
      <x:c r="H55" s="12"/>
    </x:row>
    <x:row r="56">
      <x:c r="A56" s="50"/>
      <x:c r="B56" s="12"/>
      <x:c r="C56" s="12"/>
      <x:c r="D56" s="12"/>
      <x:c r="E56" s="12"/>
      <x:c r="F56" s="12"/>
      <x:c r="G56" s="12"/>
      <x:c r="H56" s="12"/>
    </x:row>
    <x:row r="57">
      <x:c r="A57" s="50"/>
      <x:c r="B57" s="12"/>
      <x:c r="C57" s="12"/>
      <x:c r="D57" s="12"/>
      <x:c r="E57" s="12"/>
      <x:c r="F57" s="12"/>
      <x:c r="G57" s="12"/>
      <x:c r="H57" s="12"/>
    </x:row>
    <x:row r="58">
      <x:c r="A58" s="50"/>
      <x:c r="B58" s="12"/>
      <x:c r="C58" s="12"/>
      <x:c r="D58" s="12"/>
      <x:c r="E58" s="12"/>
      <x:c r="F58" s="12"/>
      <x:c r="G58" s="12"/>
      <x:c r="H58" s="12"/>
    </x:row>
    <x:row r="59">
      <x:c r="A59" s="50"/>
      <x:c r="B59" s="12"/>
      <x:c r="C59" s="12"/>
      <x:c r="D59" s="12"/>
      <x:c r="E59" s="12"/>
      <x:c r="F59" s="12"/>
      <x:c r="G59" s="12"/>
      <x:c r="H59" s="12"/>
    </x:row>
    <x:row r="60">
      <x:c r="A60" s="50"/>
      <x:c r="B60" s="12"/>
      <x:c r="C60" s="12"/>
      <x:c r="D60" s="12"/>
      <x:c r="E60" s="12"/>
      <x:c r="F60" s="12"/>
      <x:c r="G60" s="12"/>
      <x:c r="H60" s="12"/>
    </x:row>
    <x:row r="61">
      <x:c r="B61" s="12"/>
      <x:c r="C61" s="12"/>
      <x:c r="D61" s="12"/>
      <x:c r="E61" s="12"/>
      <x:c r="F61" s="12"/>
      <x:c r="G61" s="12"/>
      <x:c r="H61" s="12"/>
    </x:row>
    <x:row r="62">
      <x:c r="B62" s="12"/>
      <x:c r="C62" s="12"/>
      <x:c r="D62" s="12"/>
      <x:c r="E62" s="12"/>
      <x:c r="F62" s="12"/>
      <x:c r="G62" s="12"/>
      <x:c r="H62" s="12"/>
    </x:row>
    <x:row r="63">
      <x:c r="B63" s="12"/>
      <x:c r="C63" s="12"/>
      <x:c r="D63" s="12"/>
      <x:c r="E63" s="12"/>
      <x:c r="F63" s="12"/>
      <x:c r="G63" s="12"/>
      <x:c r="H63" s="12"/>
    </x:row>
    <x:row r="64">
      <x:c r="B64" s="12"/>
      <x:c r="C64" s="12"/>
      <x:c r="D64" s="12"/>
      <x:c r="E64" s="12"/>
      <x:c r="F64" s="12"/>
      <x:c r="G64" s="12"/>
      <x:c r="H64" s="12"/>
    </x:row>
    <x:row r="65">
      <x:c r="B65" s="12"/>
      <x:c r="C65" s="12"/>
      <x:c r="D65" s="12"/>
      <x:c r="E65" s="12"/>
      <x:c r="F65" s="12"/>
      <x:c r="G65" s="12"/>
      <x:c r="H65" s="12"/>
    </x:row>
    <x:row r="66">
      <x:c r="B66" s="12"/>
      <x:c r="C66" s="12"/>
      <x:c r="D66" s="12"/>
      <x:c r="E66" s="12"/>
      <x:c r="F66" s="12"/>
      <x:c r="G66" s="12"/>
      <x:c r="H66" s="12"/>
    </x:row>
    <x:row r="67">
      <x:c r="B67" s="12"/>
      <x:c r="C67" s="12"/>
      <x:c r="D67" s="12"/>
      <x:c r="E67" s="12"/>
      <x:c r="F67" s="12"/>
      <x:c r="G67" s="12"/>
      <x:c r="H67" s="12"/>
    </x:row>
    <x:row r="68">
      <x:c r="B68" s="12"/>
      <x:c r="C68" s="12"/>
      <x:c r="D68" s="12"/>
      <x:c r="E68" s="12"/>
      <x:c r="F68" s="12"/>
      <x:c r="G68" s="12"/>
      <x:c r="H68" s="12"/>
    </x:row>
    <x:row r="69">
      <x:c r="B69" s="12"/>
      <x:c r="C69" s="12"/>
      <x:c r="D69" s="12"/>
      <x:c r="E69" s="12"/>
      <x:c r="F69" s="12"/>
      <x:c r="G69" s="12"/>
      <x:c r="H69" s="12"/>
    </x:row>
    <x:row r="70">
      <x:c r="B70" s="12"/>
      <x:c r="C70" s="12"/>
      <x:c r="D70" s="12"/>
      <x:c r="E70" s="12"/>
      <x:c r="F70" s="12"/>
      <x:c r="G70" s="12"/>
      <x:c r="H70" s="12"/>
    </x:row>
    <x:row r="71">
      <x:c r="B71" s="12"/>
      <x:c r="C71" s="12"/>
      <x:c r="D71" s="12"/>
      <x:c r="E71" s="12"/>
      <x:c r="F71" s="12"/>
      <x:c r="G71" s="12"/>
      <x:c r="H71" s="12"/>
    </x:row>
    <x:row r="72">
      <x:c r="B72" s="12"/>
      <x:c r="C72" s="12"/>
      <x:c r="D72" s="12"/>
      <x:c r="E72" s="12"/>
      <x:c r="F72" s="12"/>
      <x:c r="G72" s="12"/>
      <x:c r="H72" s="12"/>
    </x:row>
    <x:row r="73">
      <x:c r="B73" s="12"/>
      <x:c r="C73" s="12"/>
      <x:c r="D73" s="12"/>
      <x:c r="E73" s="12"/>
      <x:c r="F73" s="12"/>
      <x:c r="G73" s="12"/>
      <x:c r="H73" s="12"/>
    </x:row>
    <x:row r="74">
      <x:c r="B74" s="12"/>
      <x:c r="C74" s="12"/>
      <x:c r="D74" s="12"/>
      <x:c r="E74" s="12"/>
      <x:c r="F74" s="12"/>
      <x:c r="G74" s="12"/>
      <x:c r="H74" s="12"/>
    </x:row>
    <x:row r="75">
      <x:c r="B75" s="12"/>
      <x:c r="C75" s="12"/>
      <x:c r="D75" s="12"/>
      <x:c r="E75" s="12"/>
      <x:c r="F75" s="12"/>
      <x:c r="G75" s="12"/>
      <x:c r="H75" s="12"/>
    </x:row>
    <x:row r="76">
      <x:c r="B76" s="12"/>
      <x:c r="C76" s="12"/>
      <x:c r="D76" s="12"/>
      <x:c r="E76" s="12"/>
      <x:c r="F76" s="12"/>
      <x:c r="G76" s="12"/>
      <x:c r="H76" s="12"/>
    </x:row>
    <x:row r="77">
      <x:c r="B77" s="12"/>
      <x:c r="C77" s="12"/>
      <x:c r="D77" s="12"/>
      <x:c r="E77" s="12"/>
      <x:c r="F77" s="12"/>
      <x:c r="G77" s="12"/>
      <x:c r="H77" s="12"/>
    </x:row>
    <x:row r="78">
      <x:c r="B78" s="12"/>
      <x:c r="C78" s="12"/>
      <x:c r="D78" s="12"/>
      <x:c r="E78" s="12"/>
      <x:c r="F78" s="12"/>
      <x:c r="G78" s="12"/>
      <x:c r="H78" s="12"/>
    </x:row>
    <x:row r="79">
      <x:c r="B79" s="12"/>
      <x:c r="C79" s="12"/>
      <x:c r="D79" s="12"/>
      <x:c r="E79" s="12"/>
      <x:c r="F79" s="12"/>
      <x:c r="G79" s="12"/>
      <x:c r="H79" s="12"/>
    </x:row>
    <x:row r="80">
      <x:c r="B80" s="12"/>
      <x:c r="C80" s="12"/>
      <x:c r="D80" s="12"/>
      <x:c r="E80" s="12"/>
      <x:c r="F80" s="12"/>
      <x:c r="G80" s="12"/>
      <x:c r="H80" s="12"/>
    </x:row>
    <x:row r="81">
      <x:c r="B81" s="12"/>
      <x:c r="C81" s="12"/>
      <x:c r="D81" s="12"/>
      <x:c r="E81" s="12"/>
      <x:c r="F81" s="12"/>
      <x:c r="G81" s="12"/>
      <x:c r="H81" s="12"/>
    </x:row>
    <x:row r="82">
      <x:c r="B82" s="12"/>
      <x:c r="C82" s="12"/>
      <x:c r="D82" s="12"/>
      <x:c r="E82" s="12"/>
      <x:c r="F82" s="12"/>
      <x:c r="G82" s="12"/>
      <x:c r="H82" s="12"/>
    </x:row>
    <x:row r="83">
      <x:c r="B83" s="12"/>
      <x:c r="C83" s="12"/>
      <x:c r="D83" s="12"/>
      <x:c r="E83" s="12"/>
      <x:c r="F83" s="12"/>
      <x:c r="G83" s="12"/>
      <x:c r="H83" s="12"/>
    </x:row>
    <x:row r="84">
      <x:c r="B84" s="12"/>
      <x:c r="C84" s="12"/>
      <x:c r="D84" s="12"/>
      <x:c r="E84" s="12"/>
      <x:c r="F84" s="12"/>
      <x:c r="G84" s="12"/>
      <x:c r="H84" s="12"/>
    </x:row>
    <x:row r="85">
      <x:c r="B85" s="12"/>
      <x:c r="C85" s="12"/>
      <x:c r="D85" s="12"/>
      <x:c r="E85" s="12"/>
      <x:c r="F85" s="12"/>
      <x:c r="G85" s="12"/>
      <x:c r="H85" s="12"/>
    </x:row>
    <x:row r="86">
      <x:c r="B86" s="12"/>
      <x:c r="C86" s="12"/>
      <x:c r="D86" s="12"/>
      <x:c r="E86" s="12"/>
      <x:c r="F86" s="12"/>
      <x:c r="G86" s="12"/>
      <x:c r="H86" s="12"/>
    </x:row>
    <x:row r="87">
      <x:c r="B87" s="12"/>
      <x:c r="C87" s="12"/>
      <x:c r="D87" s="12"/>
      <x:c r="E87" s="12"/>
      <x:c r="F87" s="12"/>
      <x:c r="G87" s="12"/>
      <x:c r="H87" s="12"/>
    </x:row>
    <x:row r="88">
      <x:c r="B88" s="12"/>
      <x:c r="C88" s="12"/>
      <x:c r="D88" s="12"/>
      <x:c r="E88" s="12"/>
      <x:c r="F88" s="12"/>
      <x:c r="G88" s="12"/>
      <x:c r="H88" s="12"/>
    </x:row>
    <x:row r="89">
      <x:c r="B89" s="12"/>
      <x:c r="C89" s="12"/>
      <x:c r="D89" s="12"/>
      <x:c r="E89" s="12"/>
      <x:c r="F89" s="12"/>
      <x:c r="G89" s="12"/>
      <x:c r="H89" s="12"/>
    </x:row>
    <x:row r="90">
      <x:c r="B90" s="12"/>
      <x:c r="C90" s="12"/>
      <x:c r="D90" s="12"/>
      <x:c r="E90" s="12"/>
      <x:c r="F90" s="12"/>
      <x:c r="G90" s="12"/>
      <x:c r="H90" s="12"/>
    </x:row>
    <x:row r="91">
      <x:c r="B91" s="12"/>
      <x:c r="C91" s="12"/>
      <x:c r="D91" s="12"/>
      <x:c r="E91" s="12"/>
      <x:c r="F91" s="12"/>
      <x:c r="G91" s="12"/>
      <x:c r="H91" s="12"/>
    </x:row>
    <x:row r="92">
      <x:c r="B92" s="12"/>
      <x:c r="C92" s="12"/>
      <x:c r="D92" s="12"/>
      <x:c r="E92" s="12"/>
      <x:c r="F92" s="12"/>
      <x:c r="G92" s="12"/>
      <x:c r="H92" s="12"/>
    </x:row>
    <x:row r="93">
      <x:c r="B93" s="12"/>
      <x:c r="C93" s="12"/>
      <x:c r="D93" s="12"/>
      <x:c r="E93" s="12"/>
      <x:c r="F93" s="12"/>
      <x:c r="G93" s="12"/>
      <x:c r="H93" s="12"/>
    </x:row>
    <x:row r="94">
      <x:c r="B94" s="12"/>
      <x:c r="C94" s="12"/>
      <x:c r="D94" s="12"/>
      <x:c r="E94" s="12"/>
      <x:c r="F94" s="12"/>
      <x:c r="G94" s="12"/>
      <x:c r="H94" s="12"/>
    </x:row>
    <x:row r="95">
      <x:c r="B95" s="12"/>
      <x:c r="C95" s="12"/>
      <x:c r="D95" s="12"/>
      <x:c r="E95" s="12"/>
      <x:c r="F95" s="12"/>
      <x:c r="G95" s="12"/>
      <x:c r="H95" s="12"/>
    </x:row>
    <x:row r="96">
      <x:c r="B96" s="12"/>
      <x:c r="C96" s="12"/>
      <x:c r="D96" s="12"/>
      <x:c r="E96" s="12"/>
      <x:c r="F96" s="12"/>
      <x:c r="G96" s="12"/>
      <x:c r="H96" s="12"/>
    </x:row>
    <x:row r="97">
      <x:c r="B97" s="12"/>
      <x:c r="C97" s="12"/>
      <x:c r="D97" s="12"/>
      <x:c r="E97" s="12"/>
      <x:c r="F97" s="12"/>
      <x:c r="G97" s="12"/>
      <x:c r="H97" s="12"/>
    </x:row>
    <x:row r="98">
      <x:c r="B98" s="12"/>
      <x:c r="C98" s="12"/>
      <x:c r="D98" s="12"/>
      <x:c r="E98" s="12"/>
      <x:c r="F98" s="12"/>
      <x:c r="G98" s="12"/>
      <x:c r="H98" s="12"/>
    </x:row>
    <x:row r="99">
      <x:c r="B99" s="12"/>
      <x:c r="C99" s="12"/>
      <x:c r="D99" s="12"/>
      <x:c r="E99" s="12"/>
      <x:c r="F99" s="12"/>
      <x:c r="G99" s="12"/>
      <x:c r="H99" s="12"/>
    </x:row>
    <x:row r="100">
      <x:c r="B100" s="12"/>
      <x:c r="C100" s="12"/>
      <x:c r="D100" s="12"/>
      <x:c r="E100" s="12"/>
      <x:c r="F100" s="12"/>
      <x:c r="G100" s="12"/>
      <x:c r="H100" s="12"/>
    </x:row>
    <x:row r="101">
      <x:c r="B101" s="12"/>
      <x:c r="C101" s="12"/>
      <x:c r="D101" s="12"/>
      <x:c r="E101" s="12"/>
      <x:c r="F101" s="12"/>
      <x:c r="G101" s="12"/>
      <x:c r="H101" s="12"/>
    </x:row>
    <x:row r="102">
      <x:c r="B102" s="12"/>
      <x:c r="C102" s="12"/>
      <x:c r="D102" s="12"/>
      <x:c r="E102" s="12"/>
      <x:c r="F102" s="12"/>
      <x:c r="G102" s="12"/>
      <x:c r="H102" s="12"/>
    </x:row>
    <x:row r="103">
      <x:c r="B103" s="12"/>
      <x:c r="C103" s="12"/>
      <x:c r="D103" s="12"/>
      <x:c r="E103" s="12"/>
      <x:c r="F103" s="12"/>
      <x:c r="G103" s="12"/>
      <x:c r="H103" s="12"/>
    </x:row>
    <x:row r="104">
      <x:c r="B104" s="12"/>
      <x:c r="C104" s="12"/>
      <x:c r="D104" s="12"/>
      <x:c r="E104" s="12"/>
      <x:c r="F104" s="12"/>
      <x:c r="G104" s="12"/>
      <x:c r="H104" s="12"/>
    </x:row>
    <x:row r="105">
      <x:c r="B105" s="12"/>
      <x:c r="C105" s="12"/>
      <x:c r="D105" s="12"/>
      <x:c r="E105" s="12"/>
      <x:c r="F105" s="12"/>
      <x:c r="G105" s="12"/>
      <x:c r="H105" s="12"/>
    </x:row>
    <x:row r="106">
      <x:c r="B106" s="12"/>
      <x:c r="C106" s="12"/>
      <x:c r="D106" s="12"/>
      <x:c r="E106" s="12"/>
      <x:c r="F106" s="12"/>
      <x:c r="G106" s="12"/>
      <x:c r="H106" s="12"/>
    </x:row>
    <x:row r="107">
      <x:c r="B107" s="12"/>
      <x:c r="C107" s="12"/>
      <x:c r="D107" s="12"/>
      <x:c r="E107" s="12"/>
      <x:c r="F107" s="12"/>
      <x:c r="G107" s="12"/>
      <x:c r="H107" s="12"/>
    </x:row>
    <x:row r="108">
      <x:c r="B108" s="12"/>
      <x:c r="C108" s="12"/>
      <x:c r="D108" s="12"/>
      <x:c r="E108" s="12"/>
      <x:c r="F108" s="12"/>
      <x:c r="G108" s="12"/>
      <x:c r="H108" s="12"/>
    </x:row>
    <x:row r="109">
      <x:c r="B109" s="12"/>
      <x:c r="C109" s="12"/>
      <x:c r="D109" s="12"/>
      <x:c r="E109" s="12"/>
      <x:c r="F109" s="12"/>
      <x:c r="G109" s="12"/>
      <x:c r="H109" s="12"/>
    </x:row>
    <x:row r="110">
      <x:c r="B110" s="12"/>
      <x:c r="C110" s="12"/>
      <x:c r="D110" s="12"/>
      <x:c r="E110" s="12"/>
      <x:c r="F110" s="12"/>
      <x:c r="G110" s="12"/>
      <x:c r="H110" s="12"/>
    </x:row>
    <x:row r="111">
      <x:c r="B111" s="12"/>
      <x:c r="C111" s="12"/>
      <x:c r="D111" s="12"/>
      <x:c r="E111" s="12"/>
      <x:c r="F111" s="12"/>
      <x:c r="G111" s="12"/>
      <x:c r="H111" s="12"/>
    </x:row>
    <x:row r="112">
      <x:c r="B112" s="12"/>
      <x:c r="C112" s="12"/>
      <x:c r="D112" s="12"/>
      <x:c r="E112" s="12"/>
      <x:c r="F112" s="12"/>
      <x:c r="G112" s="12"/>
      <x:c r="H112" s="12"/>
    </x:row>
    <x:row r="113">
      <x:c r="B113" s="12"/>
      <x:c r="C113" s="12"/>
      <x:c r="D113" s="12"/>
      <x:c r="E113" s="12"/>
      <x:c r="F113" s="12"/>
      <x:c r="G113" s="12"/>
      <x:c r="H113" s="12"/>
    </x:row>
    <x:row r="114">
      <x:c r="B114" s="12"/>
      <x:c r="C114" s="12"/>
      <x:c r="D114" s="12"/>
      <x:c r="E114" s="12"/>
      <x:c r="F114" s="12"/>
      <x:c r="G114" s="12"/>
      <x:c r="H114" s="12"/>
    </x:row>
    <x:row r="115">
      <x:c r="B115" s="12"/>
      <x:c r="C115" s="12"/>
      <x:c r="D115" s="12"/>
      <x:c r="E115" s="12"/>
      <x:c r="F115" s="12"/>
      <x:c r="G115" s="12"/>
      <x:c r="H115" s="12"/>
    </x:row>
    <x:row r="116">
      <x:c r="B116" s="12"/>
      <x:c r="C116" s="12"/>
      <x:c r="D116" s="12"/>
      <x:c r="E116" s="12"/>
      <x:c r="F116" s="12"/>
      <x:c r="G116" s="12"/>
      <x:c r="H116" s="12"/>
    </x:row>
    <x:row r="117">
      <x:c r="B117" s="12"/>
      <x:c r="C117" s="12"/>
      <x:c r="D117" s="12"/>
      <x:c r="E117" s="12"/>
      <x:c r="F117" s="12"/>
      <x:c r="G117" s="12"/>
      <x:c r="H117" s="12"/>
    </x:row>
    <x:row r="118">
      <x:c r="B118" s="12"/>
      <x:c r="C118" s="12"/>
      <x:c r="D118" s="12"/>
      <x:c r="E118" s="12"/>
      <x:c r="F118" s="12"/>
      <x:c r="G118" s="12"/>
      <x:c r="H118" s="12"/>
    </x:row>
    <x:row r="119">
      <x:c r="B119" s="12"/>
      <x:c r="C119" s="12"/>
      <x:c r="D119" s="12"/>
      <x:c r="E119" s="12"/>
      <x:c r="F119" s="12"/>
      <x:c r="G119" s="12"/>
      <x:c r="H119" s="12"/>
    </x:row>
    <x:row r="120">
      <x:c r="B120" s="12"/>
      <x:c r="C120" s="12"/>
      <x:c r="D120" s="12"/>
      <x:c r="E120" s="12"/>
      <x:c r="F120" s="12"/>
      <x:c r="G120" s="12"/>
      <x:c r="H120" s="12"/>
    </x:row>
    <x:row r="121">
      <x:c r="B121" s="12"/>
      <x:c r="C121" s="12"/>
      <x:c r="D121" s="12"/>
      <x:c r="E121" s="12"/>
      <x:c r="F121" s="12"/>
      <x:c r="G121" s="12"/>
      <x:c r="H121" s="12"/>
    </x:row>
    <x:row r="122">
      <x:c r="B122" s="12"/>
      <x:c r="C122" s="12"/>
      <x:c r="D122" s="12"/>
      <x:c r="E122" s="12"/>
      <x:c r="F122" s="12"/>
      <x:c r="G122" s="12"/>
      <x:c r="H122" s="12"/>
    </x:row>
    <x:row r="123">
      <x:c r="B123" s="12"/>
      <x:c r="C123" s="12"/>
      <x:c r="D123" s="12"/>
      <x:c r="E123" s="12"/>
      <x:c r="F123" s="12"/>
      <x:c r="G123" s="12"/>
      <x:c r="H123" s="12"/>
    </x:row>
    <x:row r="124">
      <x:c r="B124" s="12"/>
      <x:c r="C124" s="12"/>
      <x:c r="D124" s="12"/>
      <x:c r="E124" s="12"/>
      <x:c r="F124" s="12"/>
      <x:c r="G124" s="12"/>
      <x:c r="H124" s="12"/>
    </x:row>
    <x:row r="125">
      <x:c r="B125" s="12"/>
      <x:c r="C125" s="12"/>
      <x:c r="D125" s="12"/>
      <x:c r="E125" s="12"/>
      <x:c r="F125" s="12"/>
      <x:c r="G125" s="12"/>
      <x:c r="H125" s="12"/>
    </x:row>
  </x:sheetData>
  <x:mergeCells>
    <x:mergeCell ref="A1:J2"/>
    <x:mergeCell ref="A3:J3"/>
    <x:mergeCell ref="A24:J24"/>
  </x:mergeCells>
  <x:conditionalFormatting sqref="D7:D22">
    <x:cfRule type="expression" dxfId="0" priority="1">
      <x:formula>D7="FAIL"</x:formula>
    </x:cfRule>
    <x:cfRule type="expression" dxfId="1" priority="2">
      <x:formula>D7="PASS"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51" hidden="0" customWidth="1"/>
    <x:col min="10" max="10" width="70" hidden="0" customWidth="1"/>
  </x:cols>
  <x:sheetData>
    <x:row r="1" ht="23" customHeight="1">
      <x:c r="A1" s="74" t="str">
        <x:v>SMSM | Sources, Definitions &amp; Assumptions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23" customHeight="1">
      <x:c r="A2" s="74"/>
      <x:c r="B2" s="74"/>
      <x:c r="C2" s="74"/>
      <x:c r="D2" s="74"/>
      <x:c r="E2" s="74"/>
      <x:c r="F2" s="74"/>
      <x:c r="G2" s="74"/>
      <x:c r="H2" s="74"/>
      <x:c r="I2" s="74"/>
      <x:c r="J2" s="74"/>
    </x:row>
    <x:row r="3" ht="25" customHeight="1">
      <x:c r="A3" s="75" t="str">
        <x:v>Versioned evidence register • official disclosures prioritized; secondary market price explicitly tagged</x:v>
      </x:c>
      <x:c r="B3" s="75"/>
      <x:c r="C3" s="75"/>
      <x:c r="D3" s="75"/>
      <x:c r="E3" s="75"/>
      <x:c r="F3" s="75"/>
      <x:c r="G3" s="75"/>
      <x:c r="H3" s="75"/>
      <x:c r="I3" s="75"/>
      <x:c r="J3" s="75"/>
    </x:row>
    <x:row r="5">
      <x:c r="B5" s="12"/>
      <x:c r="C5" s="12"/>
      <x:c r="D5" s="12"/>
      <x:c r="E5" s="12"/>
      <x:c r="F5" s="12"/>
      <x:c r="G5" s="12"/>
      <x:c r="H5" s="12"/>
    </x:row>
    <x:row r="6" ht="25" customHeight="1">
      <x:c r="A6" s="28" t="str">
        <x:v>Source ID</x:v>
      </x:c>
      <x:c r="B6" s="58" t="str">
        <x:v>Source title</x:v>
      </x:c>
      <x:c r="C6" s="58" t="str">
        <x:v>Reporting dates</x:v>
      </x:c>
      <x:c r="D6" s="58" t="str">
        <x:v>Nature</x:v>
      </x:c>
      <x:c r="E6" s="58" t="str">
        <x:v>Source page / note</x:v>
      </x:c>
      <x:c r="F6" s="58" t="str">
        <x:v>Date verified</x:v>
      </x:c>
      <x:c r="G6" s="58" t="str">
        <x:v>Priority</x:v>
      </x:c>
      <x:c r="H6" s="58" t="str">
        <x:v>Use in workbook</x:v>
      </x:c>
      <x:c r="I6" s="28" t="str">
        <x:v>URL</x:v>
      </x:c>
      <x:c r="J6" s="28" t="str">
        <x:v>Evidence cautions</x:v>
      </x:c>
    </x:row>
    <x:row r="7" ht="49" customHeight="1">
      <x:c r="A7" s="56" t="str">
        <x:v>S01</x:v>
      </x:c>
      <x:c r="B7" s="20" t="str">
        <x:v>SMSM FY2025 Annual Report</x:v>
      </x:c>
      <x:c r="C7" s="20" t="str">
        <x:v>FY2025 / FY2024</x:v>
      </x:c>
      <x:c r="D7" s="20" t="str">
        <x:v>AUDITED</x:v>
      </x:c>
      <x:c r="E7" s="20" t="str">
        <x:v>printed pp. 568–580; notes pp. 611–670</x:v>
      </x:c>
      <x:c r="F7" s="20" t="str">
        <x:v>2026-10-24</x:v>
      </x:c>
      <x:c r="G7" s="20" t="str">
        <x:v>PRIMARY</x:v>
      </x:c>
      <x:c r="H7" s="20" t="str">
        <x:v>02,04,05,06,09</x:v>
      </x:c>
      <x:c r="I7" s="21" t="str">
        <x:v>https://smsm.co.id/uploads/attachment/Annual%20Report%20SMSM%202025.pdf</x:v>
      </x:c>
      <x:c r="J7" s="21" t="str">
        <x:v>Use audited FY2024 comparative CFO and PPE additions</x:v>
      </x:c>
    </x:row>
    <x:row r="8" ht="49" customHeight="1">
      <x:c r="A8" s="56" t="str">
        <x:v>S02</x:v>
      </x:c>
      <x:c r="B8" s="20" t="str">
        <x:v>SMSM FY2024 audited consolidated statements</x:v>
      </x:c>
      <x:c r="C8" s="20" t="str">
        <x:v>FY2024 / FY2023 restated / 1 Jan 2023 restated</x:v>
      </x:c>
      <x:c r="D8" s="20" t="str">
        <x:v>AUDITED</x:v>
      </x:c>
      <x:c r="E8" s="20" t="str">
        <x:v>PDF pp. 8–10; restatement Note 33</x:v>
      </x:c>
      <x:c r="F8" s="20" t="str">
        <x:v>2026-10-24</x:v>
      </x:c>
      <x:c r="G8" s="20" t="str">
        <x:v>PRIMARY</x:v>
      </x:c>
      <x:c r="H8" s="20" t="str">
        <x:v>02,04,06,09</x:v>
      </x:c>
      <x:c r="I8" s="21" t="str">
        <x:v>https://smsm.co.id/uploads/attachment/LK%20PT%20Selamat%20Sempurna%20Tbk%20per%2031%20Desember%202024.pdf</x:v>
      </x:c>
      <x:c r="J8" s="21" t="str">
        <x:v>Restated FY2022 opening balance is 1 Jan 2023 (not FY2022 original accounts)</x:v>
      </x:c>
    </x:row>
    <x:row r="9" ht="49" customHeight="1">
      <x:c r="A9" s="56" t="str">
        <x:v>S03</x:v>
      </x:c>
      <x:c r="B9" s="20" t="str">
        <x:v>SMSM H1 2026 financial statements</x:v>
      </x:c>
      <x:c r="C9" s="20" t="str">
        <x:v>H1 2026 / FY2025 BS comparatives</x:v>
      </x:c>
      <x:c r="D9" s="20" t="str">
        <x:v>UNAUDITED</x:v>
      </x:c>
      <x:c r="E9" s="20" t="str">
        <x:v>PDF pp. 2–10; notes 8,9,12,16,18</x:v>
      </x:c>
      <x:c r="F9" s="20" t="str">
        <x:v>2026-10-24</x:v>
      </x:c>
      <x:c r="G9" s="20" t="str">
        <x:v>PRIMARY</x:v>
      </x:c>
      <x:c r="H9" s="20" t="str">
        <x:v>02–07</x:v>
      </x:c>
      <x:c r="I9" s="21" t="str">
        <x:v>https://smsm.co.id/uploads/attachment/Laporan%20Keuangan%20SMSM%2030%20Jun%202026.pdf</x:v>
      </x:c>
      <x:c r="J9" s="21" t="str">
        <x:v>Avoid annualizing half-year flows without seasonality assumptions</x:v>
      </x:c>
    </x:row>
    <x:row r="10" ht="49" customHeight="1">
      <x:c r="A10" s="56" t="str">
        <x:v>S04</x:v>
      </x:c>
      <x:c r="B10" s="20" t="str">
        <x:v>SMSM Investor Reporting Archive</x:v>
      </x:c>
      <x:c r="C10" s="20" t="str">
        <x:v>Historical 2021–2026</x:v>
      </x:c>
      <x:c r="D10" s="20" t="str">
        <x:v>PUBLIC IR</x:v>
      </x:c>
      <x:c r="E10" s="20" t="str">
        <x:v>financial filing index</x:v>
      </x:c>
      <x:c r="F10" s="20" t="str">
        <x:v>2026-10-24</x:v>
      </x:c>
      <x:c r="G10" s="20" t="str">
        <x:v>PRIMARY</x:v>
      </x:c>
      <x:c r="H10" s="20" t="str">
        <x:v>Historical supporting source</x:v>
      </x:c>
      <x:c r="I10" s="21" t="str">
        <x:v>https://www.smsm.co.id/finreport.php</x:v>
      </x:c>
      <x:c r="J10" s="21" t="str">
        <x:v>Use audited versions for annual years</x:v>
      </x:c>
    </x:row>
    <x:row r="11" ht="49" customHeight="1">
      <x:c r="A11" s="56" t="str">
        <x:v>S05</x:v>
      </x:c>
      <x:c r="B11" s="20" t="str">
        <x:v>SMSM Authority Reporting Register</x:v>
      </x:c>
      <x:c r="C11" s="20" t="str">
        <x:v>2026 September through October</x:v>
      </x:c>
      <x:c r="D11" s="20" t="str">
        <x:v>PUBLIC IR</x:v>
      </x:c>
      <x:c r="E11" s="20" t="str">
        <x:v>2026 monthly registration and dividend notices</x:v>
      </x:c>
      <x:c r="F11" s="20" t="str">
        <x:v>2026-10-24</x:v>
      </x:c>
      <x:c r="G11" s="20" t="str">
        <x:v>PRIMARY</x:v>
      </x:c>
      <x:c r="H11" s="20" t="str">
        <x:v>Share-count / corporate-action validation</x:v>
      </x:c>
      <x:c r="I11" s="21" t="str">
        <x:v>https://www.smsm.co.id/id/otodoc.php</x:v>
      </x:c>
      <x:c r="J11" s="21" t="str">
        <x:v>Sept 2026 registry listed but full record not separately inspected</x:v>
      </x:c>
    </x:row>
    <x:row r="12" ht="49" customHeight="1">
      <x:c r="A12" s="56" t="str">
        <x:v>S06</x:v>
      </x:c>
      <x:c r="B12" s="20" t="str">
        <x:v>StockAnalysis SMSM closing price</x:v>
      </x:c>
      <x:c r="C12" s="20" t="str">
        <x:v>2026-10-23</x:v>
      </x:c>
      <x:c r="D12" s="20" t="str">
        <x:v>SECONDARY</x:v>
      </x:c>
      <x:c r="E12" s="20" t="str">
        <x:v>Price history 2026-10-23</x:v>
      </x:c>
      <x:c r="F12" s="20" t="str">
        <x:v>2026-10-24</x:v>
      </x:c>
      <x:c r="G12" s="20" t="str">
        <x:v>SECONDARY</x:v>
      </x:c>
      <x:c r="H12" s="20" t="str">
        <x:v>23-Oct-2026 price Rp1,670</x:v>
      </x:c>
      <x:c r="I12" s="21" t="str">
        <x:v>https://stockanalysis.com/quote/idx/SMSM/history/</x:v>
      </x:c>
      <x:c r="J12" s="21" t="str">
        <x:v>KSEI registered total SMSM securities 5,758,675,440; issuer balance reported as June 2026.</x:v>
      </x:c>
    </x:row>
    <x:row r="13" ht="49" customHeight="1">
      <x:c r="A13" s="56" t="str">
        <x:v>S07</x:v>
      </x:c>
      <x:c r="B13" s="20" t="str">
        <x:v>Atmus 2025 SEC Form 10-K</x:v>
      </x:c>
      <x:c r="C13" s="20" t="str">
        <x:v>FY2025</x:v>
      </x:c>
      <x:c r="D13" s="20" t="str">
        <x:v>SEC FILING</x:v>
      </x:c>
      <x:c r="E13" s="20" t="str">
        <x:v>Company filing</x:v>
      </x:c>
      <x:c r="F13" s="20" t="str">
        <x:v>2026-10-24</x:v>
      </x:c>
      <x:c r="G13" s="20" t="str">
        <x:v>PRIMARY PEER</x:v>
      </x:c>
      <x:c r="H13" s="20" t="str">
        <x:v>08 Comparable Companies</x:v>
      </x:c>
      <x:c r="I13" s="21" t="str">
        <x:v>https://www.sec.gov/Archives/edgar/data/1921963/000192196326000015/atmu-20251231.htm</x:v>
      </x:c>
      <x:c r="J13" s="21" t="str">
        <x:v>Update 2026 trailing numbers before multiplying</x:v>
      </x:c>
    </x:row>
    <x:row r="14" ht="49" customHeight="1">
      <x:c r="A14" s="56" t="str">
        <x:v>S08</x:v>
      </x:c>
      <x:c r="B14" s="20" t="str">
        <x:v>Donaldson 2026 SEC Form 10-K</x:v>
      </x:c>
      <x:c r="C14" s="20" t="str">
        <x:v>FY2026, ends July</x:v>
      </x:c>
      <x:c r="D14" s="20" t="str">
        <x:v>SEC FILING</x:v>
      </x:c>
      <x:c r="E14" s="20" t="str">
        <x:v>Company filing</x:v>
      </x:c>
      <x:c r="F14" s="20" t="str">
        <x:v>2026-10-24</x:v>
      </x:c>
      <x:c r="G14" s="20" t="str">
        <x:v>PRIMARY PEER</x:v>
      </x:c>
      <x:c r="H14" s="20" t="str">
        <x:v>08 Comparable Companies</x:v>
      </x:c>
      <x:c r="I14" s="21" t="str">
        <x:v>https://www.sec.gov/Archives/edgar/data/29644/000002964426000085/dci-20260731.htm</x:v>
      </x:c>
      <x:c r="J14" s="21" t="str">
        <x:v>Fiscal period difference</x:v>
      </x:c>
    </x:row>
    <x:row r="15" ht="49" customHeight="1">
      <x:c r="A15" s="56" t="str">
        <x:v>S09</x:v>
      </x:c>
      <x:c r="B15" s="20" t="str">
        <x:v>Astra Otoparts Investor Relations</x:v>
      </x:c>
      <x:c r="C15" s="20" t="str">
        <x:v>FY2025 / 2026 interim</x:v>
      </x:c>
      <x:c r="D15" s="20" t="str">
        <x:v>IDX issuer</x:v>
      </x:c>
      <x:c r="E15" s="20" t="str">
        <x:v>Company disclosures</x:v>
      </x:c>
      <x:c r="F15" s="20" t="str">
        <x:v>2026-10-24</x:v>
      </x:c>
      <x:c r="G15" s="20" t="str">
        <x:v>PRIMARY PEER</x:v>
      </x:c>
      <x:c r="H15" s="20" t="str">
        <x:v>08 Comparable Companies</x:v>
      </x:c>
      <x:c r="I15" s="21" t="str">
        <x:v>https://www.astra-otoparts.com/investorrelation</x:v>
      </x:c>
      <x:c r="J15" s="21" t="str">
        <x:v>Segment mismatch, includes associates</x:v>
      </x:c>
    </x:row>
    <x:row r="16" ht="49" customHeight="1">
      <x:c r="A16" s="56" t="str">
        <x:v>S10</x:v>
      </x:c>
      <x:c r="B16" s="20" t="str">
        <x:v>Damodaran Investment Valuation, 3rd ed</x:v>
      </x:c>
      <x:c r="C16" s="20" t="str">
        <x:v>2012</x:v>
      </x:c>
      <x:c r="D16" s="20" t="str">
        <x:v>ACADEMIC</x:v>
      </x:c>
      <x:c r="E16" s="20" t="str">
        <x:v>Chapters 10, 15–18</x:v>
      </x:c>
      <x:c r="F16" s="20" t="str">
        <x:v>2026-10-24</x:v>
      </x:c>
      <x:c r="G16" s="20" t="str">
        <x:v>ACADEMIC</x:v>
      </x:c>
      <x:c r="H16" s="20" t="str">
        <x:v>Method definitions</x:v>
      </x:c>
      <x:c r="I16" s="21" t="str">
        <x:v>https://pages.stern.nyu.edu/~adamodar/</x:v>
      </x:c>
      <x:c r="J16" s="21" t="str">
        <x:v>FCFF/WACC consistency, EV bridge, peer comparisons</x:v>
      </x:c>
    </x:row>
    <x:row r="17" ht="48" customHeight="1">
      <x:c r="A17" s="56" t="str">
        <x:v>S11</x:v>
      </x:c>
      <x:c r="B17" s="20" t="str">
        <x:v>SMSM official dividend history</x:v>
      </x:c>
      <x:c r="C17" s="20" t="str">
        <x:v>2026-07-02; 2026-08-27</x:v>
      </x:c>
      <x:c r="D17" s="20" t="str">
        <x:v>PUBLIC IR</x:v>
      </x:c>
      <x:c r="E17" s="20" t="str">
        <x:v>2026 dividend calendar</x:v>
      </x:c>
      <x:c r="F17" s="20" t="str">
        <x:v>2026-10-24</x:v>
      </x:c>
      <x:c r="G17" s="20" t="str">
        <x:v>PRIMARY</x:v>
      </x:c>
      <x:c r="H17" s="20" t="str">
        <x:v>Dividend payable no longer deducted at Oct</x:v>
      </x:c>
      <x:c r="I17" s="21" t="str">
        <x:v>https://www.smsm.co.id/caldividend.php</x:v>
      </x:c>
      <x:c r="J17" s="21" t="str">
        <x:v>Final FY2025 Rp40 ex 17 Jun paid 02 Jul; second interim 2026 Rp40 paid 27 Aug</x:v>
      </x:c>
    </x:row>
    <x:row r="18" ht="48" customHeight="1">
      <x:c r="A18" s="56" t="str">
        <x:v>S12</x:v>
      </x:c>
      <x:c r="B18" s="20" t="str">
        <x:v>KSEI registered SMSM securities</x:v>
      </x:c>
      <x:c r="C18" s="20" t="str">
        <x:v>Latest accessible KSEI issuer register</x:v>
      </x:c>
      <x:c r="D18" s="20" t="str">
        <x:v>DEPOSITORY</x:v>
      </x:c>
      <x:c r="E18" s="20" t="str">
        <x:v>Total registered shares</x:v>
      </x:c>
      <x:c r="F18" s="20" t="str">
        <x:v>2026-10-24</x:v>
      </x:c>
      <x:c r="G18" s="20" t="str">
        <x:v>PRIMARY</x:v>
      </x:c>
      <x:c r="H18" s="20" t="str">
        <x:v>Securities-share count</x:v>
      </x:c>
      <x:c r="I18" s="21" t="str">
        <x:v>https://web.ksei.co.id/services/registered-securities/shares/lc/SMSM</x:v>
      </x:c>
      <x:c r="J18" s="21" t="str">
        <x:v>Total 5,758,675,440; not independent proof of dilution absent</x:v>
      </x:c>
    </x:row>
    <x:row r="19" ht="23" customHeight="1">
      <x:c r="A19" s="51" t="str">
        <x:v>MODEL INPUT DEFINITIONS / OPEN-QUESTION LOG</x:v>
      </x:c>
      <x:c r="B19" s="16"/>
      <x:c r="C19" s="16"/>
      <x:c r="D19" s="16"/>
      <x:c r="E19" s="16"/>
      <x:c r="F19" s="16"/>
      <x:c r="G19" s="16"/>
      <x:c r="H19" s="16"/>
      <x:c r="I19" s="15"/>
      <x:c r="J19" s="15"/>
    </x:row>
    <x:row r="20" ht="40" customHeight="1">
      <x:c r="A20" s="56" t="str">
        <x:v>FCFF</x:v>
      </x:c>
      <x:c r="B20" s="20" t="str">
        <x:v>EBIT*(1–T)+D&amp;A−gross operating reinvestment−Δoperating NWC</x:v>
      </x:c>
      <x:c r="C20" s="20" t="str">
        <x:v>Model convention; choose tax methodology before forecasts</x:v>
      </x:c>
      <x:c r="D20" s="20"/>
      <x:c r="E20" s="20"/>
      <x:c r="F20" s="20"/>
      <x:c r="G20" s="20"/>
      <x:c r="H20" s="20"/>
      <x:c r="I20" s="21"/>
      <x:c r="J20" s="21"/>
    </x:row>
    <x:row r="21" ht="40" customHeight="1">
      <x:c r="A21" s="56" t="str">
        <x:v>NWC</x:v>
      </x:c>
      <x:c r="B21" s="20" t="str">
        <x:v>Trade &amp; operating other receivables + inventory + operating advances + prepayments + other current operating assets – operating current liabilities</x:v>
      </x:c>
      <x:c r="C21" s="20" t="str">
        <x:v>Excludes income-tax and financial items</x:v>
      </x:c>
      <x:c r="D21" s="20"/>
      <x:c r="E21" s="20"/>
      <x:c r="F21" s="20"/>
      <x:c r="G21" s="20"/>
      <x:c r="H21" s="20"/>
      <x:c r="I21" s="21"/>
      <x:c r="J21" s="21"/>
    </x:row>
    <x:row r="22" ht="40" customHeight="1">
      <x:c r="A22" s="56" t="str">
        <x:v>CapEx</x:v>
      </x:c>
      <x:c r="B22" s="20" t="str">
        <x:v>Accrual additions to owned fixed assets, reconciled to cash purchases/advances</x:v>
      </x:c>
      <x:c r="C22" s="20" t="str">
        <x:v>Assumption under lease-capitalized DCF</x:v>
      </x:c>
      <x:c r="D22" s="20"/>
      <x:c r="E22" s="20"/>
      <x:c r="F22" s="20"/>
      <x:c r="G22" s="20"/>
      <x:c r="H22" s="20"/>
      <x:c r="I22" s="21"/>
      <x:c r="J22" s="21"/>
    </x:row>
    <x:row r="23" ht="40" customHeight="1">
      <x:c r="A23" s="56" t="str">
        <x:v>EBIT normalization</x:v>
      </x:c>
      <x:c r="B23" s="20" t="str">
        <x:v>Remove H1 2026 Rp24,436m investment-property gain when constructing recurring EBIT</x:v>
      </x:c>
      <x:c r="C23" s="20" t="str">
        <x:v>Gain traced to sale and income-tax Note 12c</x:v>
      </x:c>
      <x:c r="D23" s="20"/>
      <x:c r="E23" s="20"/>
      <x:c r="F23" s="20"/>
      <x:c r="G23" s="20"/>
      <x:c r="H23" s="20"/>
      <x:c r="I23" s="21"/>
      <x:c r="J23" s="21"/>
    </x:row>
    <x:row r="24" ht="40" customHeight="1">
      <x:c r="A24" s="56" t="str">
        <x:v>Tax</x:v>
      </x:c>
      <x:c r="B24" s="20" t="str">
        <x:v>Historical observed income tax expense / PBT shown for diagnostic purposes</x:v>
      </x:c>
      <x:c r="C24" s="20" t="str">
        <x:v>Does not substitute for normalized sustainable operating taxes</x:v>
      </x:c>
      <x:c r="D24" s="20"/>
      <x:c r="E24" s="20"/>
      <x:c r="F24" s="20"/>
      <x:c r="G24" s="20"/>
      <x:c r="H24" s="20"/>
      <x:c r="I24" s="21"/>
      <x:c r="J24" s="21"/>
    </x:row>
    <x:row r="25" ht="40" customHeight="1">
      <x:c r="A25" s="56" t="str">
        <x:v>Excess cash</x:v>
      </x:c>
      <x:c r="B25" s="20" t="str">
        <x:v>Cash above defensible operating liquidity requirements, plus unrestricted investment deposits</x:v>
      </x:c>
      <x:c r="C25" s="20" t="str">
        <x:v>Economic assumption intentionally NOT locked</x:v>
      </x:c>
      <x:c r="D25" s="20"/>
      <x:c r="E25" s="20"/>
      <x:c r="F25" s="20"/>
      <x:c r="G25" s="20"/>
      <x:c r="H25" s="20"/>
      <x:c r="I25" s="21"/>
      <x:c r="J25" s="21"/>
    </x:row>
    <x:row r="26" ht="40" customHeight="1">
      <x:c r="A26" s="56" t="str">
        <x:v>NCI / associates</x:v>
      </x:c>
      <x:c r="B26" s="20" t="str">
        <x:v>Book-value proxy only when economic values are unavailable; test material sensitivities</x:v>
      </x:c>
      <x:c r="C26" s="20" t="str">
        <x:v>Consolidated FCFF includes NCI-controlled subs</x:v>
      </x:c>
      <x:c r="D26" s="20"/>
      <x:c r="E26" s="20"/>
      <x:c r="F26" s="20"/>
      <x:c r="G26" s="20"/>
      <x:c r="H26" s="20"/>
      <x:c r="I26" s="21"/>
      <x:c r="J26" s="21"/>
    </x:row>
    <x:row r="27" ht="40" customHeight="1">
      <x:c r="A27" s="56" t="str">
        <x:v>Dividends</x:v>
      </x:c>
      <x:c r="B27" s="20" t="str">
        <x:v>Avoid double counting June 2026 dividend payable against ex-dividend October price</x:v>
      </x:c>
      <x:c r="C27" s="20" t="str">
        <x:v>Need corporate action date reconciliation</x:v>
      </x:c>
      <x:c r="D27" s="20"/>
      <x:c r="E27" s="20"/>
      <x:c r="F27" s="20"/>
      <x:c r="G27" s="20"/>
      <x:c r="H27" s="20"/>
      <x:c r="I27" s="21"/>
      <x:c r="J27" s="21"/>
    </x:row>
    <x:row r="28" ht="40" customHeight="1">
      <x:c r="A28" s="56" t="str">
        <x:v>SMSM market price</x:v>
      </x:c>
      <x:c r="B28" s="20" t="str">
        <x:v>23 Oct 2026 closing Rp1,670 from multiple independent secondary providers</x:v>
      </x:c>
      <x:c r="C28" s="20" t="str">
        <x:v>Official IDX extract still not verified</x:v>
      </x:c>
      <x:c r="D28" s="20"/>
      <x:c r="E28" s="20"/>
      <x:c r="F28" s="20"/>
      <x:c r="G28" s="20"/>
      <x:c r="H28" s="20"/>
      <x:c r="I28" s="21"/>
      <x:c r="J28" s="21"/>
    </x:row>
    <x:row r="29">
      <x:c r="A29" s="50"/>
      <x:c r="B29" s="12"/>
      <x:c r="C29" s="12"/>
      <x:c r="D29" s="12"/>
      <x:c r="E29" s="12"/>
      <x:c r="F29" s="12"/>
      <x:c r="G29" s="12"/>
      <x:c r="H29" s="12"/>
    </x:row>
    <x:row r="30">
      <x:c r="A30" s="50"/>
      <x:c r="B30" s="12"/>
      <x:c r="C30" s="12"/>
      <x:c r="D30" s="12"/>
      <x:c r="E30" s="12"/>
      <x:c r="F30" s="12"/>
      <x:c r="G30" s="12"/>
      <x:c r="H30" s="12"/>
    </x:row>
    <x:row r="31">
      <x:c r="A31" s="50"/>
      <x:c r="B31" s="12"/>
      <x:c r="C31" s="12"/>
      <x:c r="D31" s="12"/>
      <x:c r="E31" s="12"/>
      <x:c r="F31" s="12"/>
      <x:c r="G31" s="12"/>
      <x:c r="H31" s="12"/>
    </x:row>
    <x:row r="32">
      <x:c r="A32" s="50"/>
      <x:c r="B32" s="12"/>
      <x:c r="C32" s="12"/>
      <x:c r="D32" s="12"/>
      <x:c r="E32" s="12"/>
      <x:c r="F32" s="12"/>
      <x:c r="G32" s="12"/>
      <x:c r="H32" s="12"/>
    </x:row>
    <x:row r="33">
      <x:c r="A33" s="50"/>
      <x:c r="B33" s="12"/>
      <x:c r="C33" s="12"/>
      <x:c r="D33" s="12"/>
      <x:c r="E33" s="12"/>
      <x:c r="F33" s="12"/>
      <x:c r="G33" s="12"/>
      <x:c r="H33" s="12"/>
    </x:row>
    <x:row r="34">
      <x:c r="A34" s="50"/>
      <x:c r="B34" s="12"/>
      <x:c r="C34" s="12"/>
      <x:c r="D34" s="12"/>
      <x:c r="E34" s="12"/>
      <x:c r="F34" s="12"/>
      <x:c r="G34" s="12"/>
      <x:c r="H34" s="12"/>
    </x:row>
    <x:row r="35">
      <x:c r="A35" s="50"/>
      <x:c r="B35" s="12"/>
      <x:c r="C35" s="12"/>
      <x:c r="D35" s="12"/>
      <x:c r="E35" s="12"/>
      <x:c r="F35" s="12"/>
      <x:c r="G35" s="12"/>
      <x:c r="H35" s="12"/>
    </x:row>
    <x:row r="36">
      <x:c r="A36" s="50"/>
      <x:c r="B36" s="12"/>
      <x:c r="C36" s="12"/>
      <x:c r="D36" s="12"/>
      <x:c r="E36" s="12"/>
      <x:c r="F36" s="12"/>
      <x:c r="G36" s="12"/>
      <x:c r="H36" s="12"/>
    </x:row>
    <x:row r="37">
      <x:c r="A37" s="50"/>
      <x:c r="B37" s="12"/>
      <x:c r="C37" s="12"/>
      <x:c r="D37" s="12"/>
      <x:c r="E37" s="12"/>
      <x:c r="F37" s="12"/>
      <x:c r="G37" s="12"/>
      <x:c r="H37" s="12"/>
    </x:row>
    <x:row r="38">
      <x:c r="A38" s="50"/>
      <x:c r="B38" s="12"/>
      <x:c r="C38" s="12"/>
      <x:c r="D38" s="12"/>
      <x:c r="E38" s="12"/>
      <x:c r="F38" s="12"/>
      <x:c r="G38" s="12"/>
      <x:c r="H38" s="12"/>
    </x:row>
    <x:row r="39">
      <x:c r="A39" s="50"/>
      <x:c r="B39" s="12"/>
      <x:c r="C39" s="12"/>
      <x:c r="D39" s="12"/>
      <x:c r="E39" s="12"/>
      <x:c r="F39" s="12"/>
      <x:c r="G39" s="12"/>
      <x:c r="H39" s="12"/>
    </x:row>
    <x:row r="40">
      <x:c r="A40" s="50"/>
      <x:c r="B40" s="12"/>
      <x:c r="C40" s="12"/>
      <x:c r="D40" s="12"/>
      <x:c r="E40" s="12"/>
      <x:c r="F40" s="12"/>
      <x:c r="G40" s="12"/>
      <x:c r="H40" s="12"/>
    </x:row>
    <x:row r="41">
      <x:c r="A41" s="50"/>
      <x:c r="B41" s="12"/>
      <x:c r="C41" s="12"/>
      <x:c r="D41" s="12"/>
      <x:c r="E41" s="12"/>
      <x:c r="F41" s="12"/>
      <x:c r="G41" s="12"/>
      <x:c r="H41" s="12"/>
    </x:row>
    <x:row r="42">
      <x:c r="A42" s="50"/>
      <x:c r="B42" s="12"/>
      <x:c r="C42" s="12"/>
      <x:c r="D42" s="12"/>
      <x:c r="E42" s="12"/>
      <x:c r="F42" s="12"/>
      <x:c r="G42" s="12"/>
      <x:c r="H42" s="12"/>
    </x:row>
    <x:row r="43">
      <x:c r="A43" s="50"/>
      <x:c r="B43" s="12"/>
      <x:c r="C43" s="12"/>
      <x:c r="D43" s="12"/>
      <x:c r="E43" s="12"/>
      <x:c r="F43" s="12"/>
      <x:c r="G43" s="12"/>
      <x:c r="H43" s="12"/>
    </x:row>
    <x:row r="44">
      <x:c r="A44" s="50"/>
      <x:c r="B44" s="12"/>
      <x:c r="C44" s="12"/>
      <x:c r="D44" s="12"/>
      <x:c r="E44" s="12"/>
      <x:c r="F44" s="12"/>
      <x:c r="G44" s="12"/>
      <x:c r="H44" s="12"/>
    </x:row>
    <x:row r="45">
      <x:c r="A45" s="50"/>
      <x:c r="B45" s="12"/>
      <x:c r="C45" s="12"/>
      <x:c r="D45" s="12"/>
      <x:c r="E45" s="12"/>
      <x:c r="F45" s="12"/>
      <x:c r="G45" s="12"/>
      <x:c r="H45" s="12"/>
    </x:row>
    <x:row r="46">
      <x:c r="A46" s="50"/>
      <x:c r="B46" s="12"/>
      <x:c r="C46" s="12"/>
      <x:c r="D46" s="12"/>
      <x:c r="E46" s="12"/>
      <x:c r="F46" s="12"/>
      <x:c r="G46" s="12"/>
      <x:c r="H46" s="12"/>
    </x:row>
    <x:row r="47">
      <x:c r="A47" s="50"/>
      <x:c r="B47" s="12"/>
      <x:c r="C47" s="12"/>
      <x:c r="D47" s="12"/>
      <x:c r="E47" s="12"/>
      <x:c r="F47" s="12"/>
      <x:c r="G47" s="12"/>
      <x:c r="H47" s="12"/>
    </x:row>
    <x:row r="48">
      <x:c r="A48" s="50"/>
      <x:c r="B48" s="12"/>
      <x:c r="C48" s="12"/>
      <x:c r="D48" s="12"/>
      <x:c r="E48" s="12"/>
      <x:c r="F48" s="12"/>
      <x:c r="G48" s="12"/>
      <x:c r="H48" s="12"/>
    </x:row>
    <x:row r="49">
      <x:c r="A49" s="50"/>
      <x:c r="B49" s="12"/>
      <x:c r="C49" s="12"/>
      <x:c r="D49" s="12"/>
      <x:c r="E49" s="12"/>
      <x:c r="F49" s="12"/>
      <x:c r="G49" s="12"/>
      <x:c r="H49" s="12"/>
    </x:row>
    <x:row r="50">
      <x:c r="A50" s="50"/>
      <x:c r="B50" s="12"/>
      <x:c r="C50" s="12"/>
      <x:c r="D50" s="12"/>
      <x:c r="E50" s="12"/>
      <x:c r="F50" s="12"/>
      <x:c r="G50" s="12"/>
      <x:c r="H50" s="12"/>
    </x:row>
    <x:row r="51">
      <x:c r="A51" s="50"/>
      <x:c r="B51" s="12"/>
      <x:c r="C51" s="12"/>
      <x:c r="D51" s="12"/>
      <x:c r="E51" s="12"/>
      <x:c r="F51" s="12"/>
      <x:c r="G51" s="12"/>
      <x:c r="H51" s="12"/>
    </x:row>
    <x:row r="52">
      <x:c r="A52" s="50"/>
      <x:c r="B52" s="12"/>
      <x:c r="C52" s="12"/>
      <x:c r="D52" s="12"/>
      <x:c r="E52" s="12"/>
      <x:c r="F52" s="12"/>
      <x:c r="G52" s="12"/>
      <x:c r="H52" s="12"/>
    </x:row>
    <x:row r="53">
      <x:c r="A53" s="50"/>
      <x:c r="B53" s="12"/>
      <x:c r="C53" s="12"/>
      <x:c r="D53" s="12"/>
      <x:c r="E53" s="12"/>
      <x:c r="F53" s="12"/>
      <x:c r="G53" s="12"/>
      <x:c r="H53" s="12"/>
    </x:row>
    <x:row r="54">
      <x:c r="A54" s="50"/>
      <x:c r="B54" s="12"/>
      <x:c r="C54" s="12"/>
      <x:c r="D54" s="12"/>
      <x:c r="E54" s="12"/>
      <x:c r="F54" s="12"/>
      <x:c r="G54" s="12"/>
      <x:c r="H54" s="12"/>
    </x:row>
    <x:row r="55">
      <x:c r="A55" s="50"/>
      <x:c r="B55" s="12"/>
      <x:c r="C55" s="12"/>
      <x:c r="D55" s="12"/>
      <x:c r="E55" s="12"/>
      <x:c r="F55" s="12"/>
      <x:c r="G55" s="12"/>
      <x:c r="H55" s="12"/>
    </x:row>
    <x:row r="56">
      <x:c r="A56" s="50"/>
      <x:c r="B56" s="12"/>
      <x:c r="C56" s="12"/>
      <x:c r="D56" s="12"/>
      <x:c r="E56" s="12"/>
      <x:c r="F56" s="12"/>
      <x:c r="G56" s="12"/>
      <x:c r="H56" s="12"/>
    </x:row>
    <x:row r="57">
      <x:c r="A57" s="50"/>
      <x:c r="B57" s="12"/>
      <x:c r="C57" s="12"/>
      <x:c r="D57" s="12"/>
      <x:c r="E57" s="12"/>
      <x:c r="F57" s="12"/>
      <x:c r="G57" s="12"/>
      <x:c r="H57" s="12"/>
    </x:row>
    <x:row r="58">
      <x:c r="A58" s="50"/>
      <x:c r="B58" s="12"/>
      <x:c r="C58" s="12"/>
      <x:c r="D58" s="12"/>
      <x:c r="E58" s="12"/>
      <x:c r="F58" s="12"/>
      <x:c r="G58" s="12"/>
      <x:c r="H58" s="12"/>
    </x:row>
    <x:row r="59">
      <x:c r="A59" s="50"/>
      <x:c r="B59" s="12"/>
      <x:c r="C59" s="12"/>
      <x:c r="D59" s="12"/>
      <x:c r="E59" s="12"/>
      <x:c r="F59" s="12"/>
      <x:c r="G59" s="12"/>
      <x:c r="H59" s="12"/>
    </x:row>
    <x:row r="60">
      <x:c r="A60" s="50"/>
      <x:c r="B60" s="12"/>
      <x:c r="C60" s="12"/>
      <x:c r="D60" s="12"/>
      <x:c r="E60" s="12"/>
      <x:c r="F60" s="12"/>
      <x:c r="G60" s="12"/>
      <x:c r="H60" s="12"/>
    </x:row>
    <x:row r="61">
      <x:c r="B61" s="12"/>
      <x:c r="C61" s="12"/>
      <x:c r="D61" s="12"/>
      <x:c r="E61" s="12"/>
      <x:c r="F61" s="12"/>
      <x:c r="G61" s="12"/>
      <x:c r="H61" s="12"/>
    </x:row>
    <x:row r="62">
      <x:c r="B62" s="12"/>
      <x:c r="C62" s="12"/>
      <x:c r="D62" s="12"/>
      <x:c r="E62" s="12"/>
      <x:c r="F62" s="12"/>
      <x:c r="G62" s="12"/>
      <x:c r="H62" s="12"/>
    </x:row>
    <x:row r="63">
      <x:c r="B63" s="12"/>
      <x:c r="C63" s="12"/>
      <x:c r="D63" s="12"/>
      <x:c r="E63" s="12"/>
      <x:c r="F63" s="12"/>
      <x:c r="G63" s="12"/>
      <x:c r="H63" s="12"/>
    </x:row>
    <x:row r="64">
      <x:c r="B64" s="12"/>
      <x:c r="C64" s="12"/>
      <x:c r="D64" s="12"/>
      <x:c r="E64" s="12"/>
      <x:c r="F64" s="12"/>
      <x:c r="G64" s="12"/>
      <x:c r="H64" s="12"/>
    </x:row>
    <x:row r="65">
      <x:c r="B65" s="12"/>
      <x:c r="C65" s="12"/>
      <x:c r="D65" s="12"/>
      <x:c r="E65" s="12"/>
      <x:c r="F65" s="12"/>
      <x:c r="G65" s="12"/>
      <x:c r="H65" s="12"/>
    </x:row>
    <x:row r="66">
      <x:c r="B66" s="12"/>
      <x:c r="C66" s="12"/>
      <x:c r="D66" s="12"/>
      <x:c r="E66" s="12"/>
      <x:c r="F66" s="12"/>
      <x:c r="G66" s="12"/>
      <x:c r="H66" s="12"/>
    </x:row>
    <x:row r="67">
      <x:c r="B67" s="12"/>
      <x:c r="C67" s="12"/>
      <x:c r="D67" s="12"/>
      <x:c r="E67" s="12"/>
      <x:c r="F67" s="12"/>
      <x:c r="G67" s="12"/>
      <x:c r="H67" s="12"/>
    </x:row>
    <x:row r="68">
      <x:c r="B68" s="12"/>
      <x:c r="C68" s="12"/>
      <x:c r="D68" s="12"/>
      <x:c r="E68" s="12"/>
      <x:c r="F68" s="12"/>
      <x:c r="G68" s="12"/>
      <x:c r="H68" s="12"/>
    </x:row>
    <x:row r="69">
      <x:c r="B69" s="12"/>
      <x:c r="C69" s="12"/>
      <x:c r="D69" s="12"/>
      <x:c r="E69" s="12"/>
      <x:c r="F69" s="12"/>
      <x:c r="G69" s="12"/>
      <x:c r="H69" s="12"/>
    </x:row>
    <x:row r="70">
      <x:c r="B70" s="12"/>
      <x:c r="C70" s="12"/>
      <x:c r="D70" s="12"/>
      <x:c r="E70" s="12"/>
      <x:c r="F70" s="12"/>
      <x:c r="G70" s="12"/>
      <x:c r="H70" s="12"/>
    </x:row>
    <x:row r="71">
      <x:c r="B71" s="12"/>
      <x:c r="C71" s="12"/>
      <x:c r="D71" s="12"/>
      <x:c r="E71" s="12"/>
      <x:c r="F71" s="12"/>
      <x:c r="G71" s="12"/>
      <x:c r="H71" s="12"/>
    </x:row>
    <x:row r="72">
      <x:c r="B72" s="12"/>
      <x:c r="C72" s="12"/>
      <x:c r="D72" s="12"/>
      <x:c r="E72" s="12"/>
      <x:c r="F72" s="12"/>
      <x:c r="G72" s="12"/>
      <x:c r="H72" s="12"/>
    </x:row>
    <x:row r="73">
      <x:c r="B73" s="12"/>
      <x:c r="C73" s="12"/>
      <x:c r="D73" s="12"/>
      <x:c r="E73" s="12"/>
      <x:c r="F73" s="12"/>
      <x:c r="G73" s="12"/>
      <x:c r="H73" s="12"/>
    </x:row>
    <x:row r="74">
      <x:c r="B74" s="12"/>
      <x:c r="C74" s="12"/>
      <x:c r="D74" s="12"/>
      <x:c r="E74" s="12"/>
      <x:c r="F74" s="12"/>
      <x:c r="G74" s="12"/>
      <x:c r="H74" s="12"/>
    </x:row>
    <x:row r="75">
      <x:c r="B75" s="12"/>
      <x:c r="C75" s="12"/>
      <x:c r="D75" s="12"/>
      <x:c r="E75" s="12"/>
      <x:c r="F75" s="12"/>
      <x:c r="G75" s="12"/>
      <x:c r="H75" s="12"/>
    </x:row>
    <x:row r="76">
      <x:c r="B76" s="12"/>
      <x:c r="C76" s="12"/>
      <x:c r="D76" s="12"/>
      <x:c r="E76" s="12"/>
      <x:c r="F76" s="12"/>
      <x:c r="G76" s="12"/>
      <x:c r="H76" s="12"/>
    </x:row>
    <x:row r="77">
      <x:c r="B77" s="12"/>
      <x:c r="C77" s="12"/>
      <x:c r="D77" s="12"/>
      <x:c r="E77" s="12"/>
      <x:c r="F77" s="12"/>
      <x:c r="G77" s="12"/>
      <x:c r="H77" s="12"/>
    </x:row>
    <x:row r="78">
      <x:c r="B78" s="12"/>
      <x:c r="C78" s="12"/>
      <x:c r="D78" s="12"/>
      <x:c r="E78" s="12"/>
      <x:c r="F78" s="12"/>
      <x:c r="G78" s="12"/>
      <x:c r="H78" s="12"/>
    </x:row>
    <x:row r="79">
      <x:c r="B79" s="12"/>
      <x:c r="C79" s="12"/>
      <x:c r="D79" s="12"/>
      <x:c r="E79" s="12"/>
      <x:c r="F79" s="12"/>
      <x:c r="G79" s="12"/>
      <x:c r="H79" s="12"/>
    </x:row>
    <x:row r="80">
      <x:c r="B80" s="12"/>
      <x:c r="C80" s="12"/>
      <x:c r="D80" s="12"/>
      <x:c r="E80" s="12"/>
      <x:c r="F80" s="12"/>
      <x:c r="G80" s="12"/>
      <x:c r="H80" s="12"/>
    </x:row>
    <x:row r="81">
      <x:c r="B81" s="12"/>
      <x:c r="C81" s="12"/>
      <x:c r="D81" s="12"/>
      <x:c r="E81" s="12"/>
      <x:c r="F81" s="12"/>
      <x:c r="G81" s="12"/>
      <x:c r="H81" s="12"/>
    </x:row>
    <x:row r="82">
      <x:c r="B82" s="12"/>
      <x:c r="C82" s="12"/>
      <x:c r="D82" s="12"/>
      <x:c r="E82" s="12"/>
      <x:c r="F82" s="12"/>
      <x:c r="G82" s="12"/>
      <x:c r="H82" s="12"/>
    </x:row>
    <x:row r="83">
      <x:c r="B83" s="12"/>
      <x:c r="C83" s="12"/>
      <x:c r="D83" s="12"/>
      <x:c r="E83" s="12"/>
      <x:c r="F83" s="12"/>
      <x:c r="G83" s="12"/>
      <x:c r="H83" s="12"/>
    </x:row>
    <x:row r="84">
      <x:c r="B84" s="12"/>
      <x:c r="C84" s="12"/>
      <x:c r="D84" s="12"/>
      <x:c r="E84" s="12"/>
      <x:c r="F84" s="12"/>
      <x:c r="G84" s="12"/>
      <x:c r="H84" s="12"/>
    </x:row>
    <x:row r="85">
      <x:c r="B85" s="12"/>
      <x:c r="C85" s="12"/>
      <x:c r="D85" s="12"/>
      <x:c r="E85" s="12"/>
      <x:c r="F85" s="12"/>
      <x:c r="G85" s="12"/>
      <x:c r="H85" s="12"/>
    </x:row>
    <x:row r="86">
      <x:c r="B86" s="12"/>
      <x:c r="C86" s="12"/>
      <x:c r="D86" s="12"/>
      <x:c r="E86" s="12"/>
      <x:c r="F86" s="12"/>
      <x:c r="G86" s="12"/>
      <x:c r="H86" s="12"/>
    </x:row>
    <x:row r="87">
      <x:c r="B87" s="12"/>
      <x:c r="C87" s="12"/>
      <x:c r="D87" s="12"/>
      <x:c r="E87" s="12"/>
      <x:c r="F87" s="12"/>
      <x:c r="G87" s="12"/>
      <x:c r="H87" s="12"/>
    </x:row>
    <x:row r="88">
      <x:c r="B88" s="12"/>
      <x:c r="C88" s="12"/>
      <x:c r="D88" s="12"/>
      <x:c r="E88" s="12"/>
      <x:c r="F88" s="12"/>
      <x:c r="G88" s="12"/>
      <x:c r="H88" s="12"/>
    </x:row>
    <x:row r="89">
      <x:c r="B89" s="12"/>
      <x:c r="C89" s="12"/>
      <x:c r="D89" s="12"/>
      <x:c r="E89" s="12"/>
      <x:c r="F89" s="12"/>
      <x:c r="G89" s="12"/>
      <x:c r="H89" s="12"/>
    </x:row>
    <x:row r="90">
      <x:c r="B90" s="12"/>
      <x:c r="C90" s="12"/>
      <x:c r="D90" s="12"/>
      <x:c r="E90" s="12"/>
      <x:c r="F90" s="12"/>
      <x:c r="G90" s="12"/>
      <x:c r="H90" s="12"/>
    </x:row>
    <x:row r="91">
      <x:c r="B91" s="12"/>
      <x:c r="C91" s="12"/>
      <x:c r="D91" s="12"/>
      <x:c r="E91" s="12"/>
      <x:c r="F91" s="12"/>
      <x:c r="G91" s="12"/>
      <x:c r="H91" s="12"/>
    </x:row>
    <x:row r="92">
      <x:c r="B92" s="12"/>
      <x:c r="C92" s="12"/>
      <x:c r="D92" s="12"/>
      <x:c r="E92" s="12"/>
      <x:c r="F92" s="12"/>
      <x:c r="G92" s="12"/>
      <x:c r="H92" s="12"/>
    </x:row>
    <x:row r="93">
      <x:c r="B93" s="12"/>
      <x:c r="C93" s="12"/>
      <x:c r="D93" s="12"/>
      <x:c r="E93" s="12"/>
      <x:c r="F93" s="12"/>
      <x:c r="G93" s="12"/>
      <x:c r="H93" s="12"/>
    </x:row>
    <x:row r="94">
      <x:c r="B94" s="12"/>
      <x:c r="C94" s="12"/>
      <x:c r="D94" s="12"/>
      <x:c r="E94" s="12"/>
      <x:c r="F94" s="12"/>
      <x:c r="G94" s="12"/>
      <x:c r="H94" s="12"/>
    </x:row>
    <x:row r="95">
      <x:c r="B95" s="12"/>
      <x:c r="C95" s="12"/>
      <x:c r="D95" s="12"/>
      <x:c r="E95" s="12"/>
      <x:c r="F95" s="12"/>
      <x:c r="G95" s="12"/>
      <x:c r="H95" s="12"/>
    </x:row>
    <x:row r="96">
      <x:c r="B96" s="12"/>
      <x:c r="C96" s="12"/>
      <x:c r="D96" s="12"/>
      <x:c r="E96" s="12"/>
      <x:c r="F96" s="12"/>
      <x:c r="G96" s="12"/>
      <x:c r="H96" s="12"/>
    </x:row>
    <x:row r="97">
      <x:c r="B97" s="12"/>
      <x:c r="C97" s="12"/>
      <x:c r="D97" s="12"/>
      <x:c r="E97" s="12"/>
      <x:c r="F97" s="12"/>
      <x:c r="G97" s="12"/>
      <x:c r="H97" s="12"/>
    </x:row>
    <x:row r="98">
      <x:c r="B98" s="12"/>
      <x:c r="C98" s="12"/>
      <x:c r="D98" s="12"/>
      <x:c r="E98" s="12"/>
      <x:c r="F98" s="12"/>
      <x:c r="G98" s="12"/>
      <x:c r="H98" s="12"/>
    </x:row>
    <x:row r="99">
      <x:c r="B99" s="12"/>
      <x:c r="C99" s="12"/>
      <x:c r="D99" s="12"/>
      <x:c r="E99" s="12"/>
      <x:c r="F99" s="12"/>
      <x:c r="G99" s="12"/>
      <x:c r="H99" s="12"/>
    </x:row>
    <x:row r="100">
      <x:c r="B100" s="12"/>
      <x:c r="C100" s="12"/>
      <x:c r="D100" s="12"/>
      <x:c r="E100" s="12"/>
      <x:c r="F100" s="12"/>
      <x:c r="G100" s="12"/>
      <x:c r="H100" s="12"/>
    </x:row>
    <x:row r="101">
      <x:c r="B101" s="12"/>
      <x:c r="C101" s="12"/>
      <x:c r="D101" s="12"/>
      <x:c r="E101" s="12"/>
      <x:c r="F101" s="12"/>
      <x:c r="G101" s="12"/>
      <x:c r="H101" s="12"/>
    </x:row>
    <x:row r="102">
      <x:c r="B102" s="12"/>
      <x:c r="C102" s="12"/>
      <x:c r="D102" s="12"/>
      <x:c r="E102" s="12"/>
      <x:c r="F102" s="12"/>
      <x:c r="G102" s="12"/>
      <x:c r="H102" s="12"/>
    </x:row>
    <x:row r="103">
      <x:c r="B103" s="12"/>
      <x:c r="C103" s="12"/>
      <x:c r="D103" s="12"/>
      <x:c r="E103" s="12"/>
      <x:c r="F103" s="12"/>
      <x:c r="G103" s="12"/>
      <x:c r="H103" s="12"/>
    </x:row>
    <x:row r="104">
      <x:c r="B104" s="12"/>
      <x:c r="C104" s="12"/>
      <x:c r="D104" s="12"/>
      <x:c r="E104" s="12"/>
      <x:c r="F104" s="12"/>
      <x:c r="G104" s="12"/>
      <x:c r="H104" s="12"/>
    </x:row>
    <x:row r="105">
      <x:c r="B105" s="12"/>
      <x:c r="C105" s="12"/>
      <x:c r="D105" s="12"/>
      <x:c r="E105" s="12"/>
      <x:c r="F105" s="12"/>
      <x:c r="G105" s="12"/>
      <x:c r="H105" s="12"/>
    </x:row>
    <x:row r="106">
      <x:c r="B106" s="12"/>
      <x:c r="C106" s="12"/>
      <x:c r="D106" s="12"/>
      <x:c r="E106" s="12"/>
      <x:c r="F106" s="12"/>
      <x:c r="G106" s="12"/>
      <x:c r="H106" s="12"/>
    </x:row>
    <x:row r="107">
      <x:c r="B107" s="12"/>
      <x:c r="C107" s="12"/>
      <x:c r="D107" s="12"/>
      <x:c r="E107" s="12"/>
      <x:c r="F107" s="12"/>
      <x:c r="G107" s="12"/>
      <x:c r="H107" s="12"/>
    </x:row>
    <x:row r="108">
      <x:c r="B108" s="12"/>
      <x:c r="C108" s="12"/>
      <x:c r="D108" s="12"/>
      <x:c r="E108" s="12"/>
      <x:c r="F108" s="12"/>
      <x:c r="G108" s="12"/>
      <x:c r="H108" s="12"/>
    </x:row>
    <x:row r="109">
      <x:c r="B109" s="12"/>
      <x:c r="C109" s="12"/>
      <x:c r="D109" s="12"/>
      <x:c r="E109" s="12"/>
      <x:c r="F109" s="12"/>
      <x:c r="G109" s="12"/>
      <x:c r="H109" s="12"/>
    </x:row>
    <x:row r="110">
      <x:c r="B110" s="12"/>
      <x:c r="C110" s="12"/>
      <x:c r="D110" s="12"/>
      <x:c r="E110" s="12"/>
      <x:c r="F110" s="12"/>
      <x:c r="G110" s="12"/>
      <x:c r="H110" s="12"/>
    </x:row>
    <x:row r="111">
      <x:c r="B111" s="12"/>
      <x:c r="C111" s="12"/>
      <x:c r="D111" s="12"/>
      <x:c r="E111" s="12"/>
      <x:c r="F111" s="12"/>
      <x:c r="G111" s="12"/>
      <x:c r="H111" s="12"/>
    </x:row>
    <x:row r="112">
      <x:c r="B112" s="12"/>
      <x:c r="C112" s="12"/>
      <x:c r="D112" s="12"/>
      <x:c r="E112" s="12"/>
      <x:c r="F112" s="12"/>
      <x:c r="G112" s="12"/>
      <x:c r="H112" s="12"/>
    </x:row>
    <x:row r="113">
      <x:c r="B113" s="12"/>
      <x:c r="C113" s="12"/>
      <x:c r="D113" s="12"/>
      <x:c r="E113" s="12"/>
      <x:c r="F113" s="12"/>
      <x:c r="G113" s="12"/>
      <x:c r="H113" s="12"/>
    </x:row>
    <x:row r="114">
      <x:c r="B114" s="12"/>
      <x:c r="C114" s="12"/>
      <x:c r="D114" s="12"/>
      <x:c r="E114" s="12"/>
      <x:c r="F114" s="12"/>
      <x:c r="G114" s="12"/>
      <x:c r="H114" s="12"/>
    </x:row>
    <x:row r="115">
      <x:c r="B115" s="12"/>
      <x:c r="C115" s="12"/>
      <x:c r="D115" s="12"/>
      <x:c r="E115" s="12"/>
      <x:c r="F115" s="12"/>
      <x:c r="G115" s="12"/>
      <x:c r="H115" s="12"/>
    </x:row>
    <x:row r="116">
      <x:c r="B116" s="12"/>
      <x:c r="C116" s="12"/>
      <x:c r="D116" s="12"/>
      <x:c r="E116" s="12"/>
      <x:c r="F116" s="12"/>
      <x:c r="G116" s="12"/>
      <x:c r="H116" s="12"/>
    </x:row>
    <x:row r="117">
      <x:c r="B117" s="12"/>
      <x:c r="C117" s="12"/>
      <x:c r="D117" s="12"/>
      <x:c r="E117" s="12"/>
      <x:c r="F117" s="12"/>
      <x:c r="G117" s="12"/>
      <x:c r="H117" s="12"/>
    </x:row>
    <x:row r="118">
      <x:c r="B118" s="12"/>
      <x:c r="C118" s="12"/>
      <x:c r="D118" s="12"/>
      <x:c r="E118" s="12"/>
      <x:c r="F118" s="12"/>
      <x:c r="G118" s="12"/>
      <x:c r="H118" s="12"/>
    </x:row>
    <x:row r="119">
      <x:c r="B119" s="12"/>
      <x:c r="C119" s="12"/>
      <x:c r="D119" s="12"/>
      <x:c r="E119" s="12"/>
      <x:c r="F119" s="12"/>
      <x:c r="G119" s="12"/>
      <x:c r="H119" s="12"/>
    </x:row>
    <x:row r="120">
      <x:c r="B120" s="12"/>
      <x:c r="C120" s="12"/>
      <x:c r="D120" s="12"/>
      <x:c r="E120" s="12"/>
      <x:c r="F120" s="12"/>
      <x:c r="G120" s="12"/>
      <x:c r="H120" s="12"/>
    </x:row>
    <x:row r="121">
      <x:c r="B121" s="12"/>
      <x:c r="C121" s="12"/>
      <x:c r="D121" s="12"/>
      <x:c r="E121" s="12"/>
      <x:c r="F121" s="12"/>
      <x:c r="G121" s="12"/>
      <x:c r="H121" s="12"/>
    </x:row>
    <x:row r="122">
      <x:c r="B122" s="12"/>
      <x:c r="C122" s="12"/>
      <x:c r="D122" s="12"/>
      <x:c r="E122" s="12"/>
      <x:c r="F122" s="12"/>
      <x:c r="G122" s="12"/>
      <x:c r="H122" s="12"/>
    </x:row>
    <x:row r="123">
      <x:c r="B123" s="12"/>
      <x:c r="C123" s="12"/>
      <x:c r="D123" s="12"/>
      <x:c r="E123" s="12"/>
      <x:c r="F123" s="12"/>
      <x:c r="G123" s="12"/>
      <x:c r="H123" s="12"/>
    </x:row>
    <x:row r="124">
      <x:c r="B124" s="12"/>
      <x:c r="C124" s="12"/>
      <x:c r="D124" s="12"/>
      <x:c r="E124" s="12"/>
      <x:c r="F124" s="12"/>
      <x:c r="G124" s="12"/>
      <x:c r="H124" s="12"/>
    </x:row>
    <x:row r="125">
      <x:c r="B125" s="12"/>
      <x:c r="C125" s="12"/>
      <x:c r="D125" s="12"/>
      <x:c r="E125" s="12"/>
      <x:c r="F125" s="12"/>
      <x:c r="G125" s="12"/>
      <x:c r="H125" s="12"/>
    </x:row>
  </x:sheetData>
  <x:mergeCells>
    <x:mergeCell ref="A1:J2"/>
    <x:mergeCell ref="A3:J3"/>
    <x:mergeCell ref="A19:J19"/>
  </x:mergeCells>
  <x:pageMargins left="0.7" right="0.7" top="0.75" bottom="0.75" header="0.3" footer="0.3"/>
</x:worksheet>
</file>