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c4f4c5022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Instructions &amp; Overview" sheetId="1" r:id="R287b1d7bddad447c"/>
    <x:sheet xmlns:r="http://schemas.openxmlformats.org/officeDocument/2006/relationships" name="02 Historical &amp; TTM" sheetId="2" r:id="R9743d9fb218640d4"/>
    <x:sheet xmlns:r="http://schemas.openxmlformats.org/officeDocument/2006/relationships" name="03 Forecast Assumptions" sheetId="3" r:id="R4e44a7b86fbd424c"/>
    <x:sheet xmlns:r="http://schemas.openxmlformats.org/officeDocument/2006/relationships" name="04 Financial Forecast" sheetId="4" r:id="Re99780162da14a1b"/>
    <x:sheet xmlns:r="http://schemas.openxmlformats.org/officeDocument/2006/relationships" name="05 FCFF" sheetId="5" r:id="R00985aae330d477b"/>
    <x:sheet xmlns:r="http://schemas.openxmlformats.org/officeDocument/2006/relationships" name="06 Cost of Equity &amp; WACC" sheetId="6" r:id="R552345f00bef4344"/>
    <x:sheet xmlns:r="http://schemas.openxmlformats.org/officeDocument/2006/relationships" name="07 DCF Valuation" sheetId="7" r:id="Rdf1960a60a1f403e"/>
    <x:sheet xmlns:r="http://schemas.openxmlformats.org/officeDocument/2006/relationships" name="08 Equity Bridge" sheetId="8" r:id="R330d6d111dae4bb7"/>
    <x:sheet xmlns:r="http://schemas.openxmlformats.org/officeDocument/2006/relationships" name="09 Comparable Companies" sheetId="9" r:id="R37a3975a651c4942"/>
    <x:sheet xmlns:r="http://schemas.openxmlformats.org/officeDocument/2006/relationships" name="10 Relative Valuation" sheetId="10" r:id="R2b1f7ccc7d4a4aba"/>
    <x:sheet xmlns:r="http://schemas.openxmlformats.org/officeDocument/2006/relationships" name="11 Scenarios &amp; Sensitivity" sheetId="11" r:id="Rb0b2d5dcd27142cb"/>
    <x:sheet xmlns:r="http://schemas.openxmlformats.org/officeDocument/2006/relationships" name="12 Valuation Summary" sheetId="12" r:id="Rce0c85c573ee4a6b"/>
    <x:sheet xmlns:r="http://schemas.openxmlformats.org/officeDocument/2006/relationships" name="13 Validation Controls" sheetId="13" r:id="R286f6129249d4690"/>
    <x:sheet xmlns:r="http://schemas.openxmlformats.org/officeDocument/2006/relationships" name="14 Sources &amp; Assumptions" sheetId="14" r:id="Rf4f919b74910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0%;[Red](0.00%);-"/>
    <x:numFmt numFmtId="202" formatCode="&quot;Rp &quot;#,##0;[Red](#,##0);-"/>
    <x:numFmt numFmtId="203" formatCode="0.00&quot;x&quot;;[Red](0.00&quot;x&quot;);-"/>
    <x:numFmt numFmtId="204" formatCode="dd mmm yyyy"/>
  </x:numFmts>
  <x:fonts count="8">
    <x:font>
      <x:sz val="11"/>
      <x:name val="Carlito"/>
    </x:font>
    <x:font>
      <x:b/>
      <x:sz val="15"/>
      <x:color rgb="FFFFFFFF"/>
      <x:name val="Carlito"/>
    </x:font>
    <x:font>
      <x:sz val="10"/>
      <x:color rgb="FF54677A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14E"/>
      </x:patternFill>
    </x:fill>
    <x:fill>
      <x:patternFill patternType="solid">
        <x:fgColor rgb="FFE9F0F8"/>
      </x:patternFill>
    </x:fill>
    <x:fill>
      <x:patternFill patternType="solid">
        <x:fgColor rgb="FF24558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d8e0e0fe74490" /><Relationship Type="http://schemas.openxmlformats.org/officeDocument/2006/relationships/theme" Target="/xl/theme/theme1.xml" Id="R23de6f1fca3b4220" /><Relationship Type="http://schemas.openxmlformats.org/officeDocument/2006/relationships/sharedStrings" Target="/xl/sharedStrings.xml" Id="R560730cde35d4f89" /><Relationship Type="http://schemas.openxmlformats.org/officeDocument/2006/relationships/worksheet" Target="/xl/worksheets/sheet1.xml" Id="R287b1d7bddad447c" /><Relationship Type="http://schemas.openxmlformats.org/officeDocument/2006/relationships/worksheet" Target="/xl/worksheets/sheet2.xml" Id="R9743d9fb218640d4" /><Relationship Type="http://schemas.openxmlformats.org/officeDocument/2006/relationships/worksheet" Target="/xl/worksheets/sheet3.xml" Id="R4e44a7b86fbd424c" /><Relationship Type="http://schemas.openxmlformats.org/officeDocument/2006/relationships/worksheet" Target="/xl/worksheets/sheet4.xml" Id="Re99780162da14a1b" /><Relationship Type="http://schemas.openxmlformats.org/officeDocument/2006/relationships/worksheet" Target="/xl/worksheets/sheet5.xml" Id="R00985aae330d477b" /><Relationship Type="http://schemas.openxmlformats.org/officeDocument/2006/relationships/worksheet" Target="/xl/worksheets/sheet6.xml" Id="R552345f00bef4344" /><Relationship Type="http://schemas.openxmlformats.org/officeDocument/2006/relationships/worksheet" Target="/xl/worksheets/sheet7.xml" Id="Rdf1960a60a1f403e" /><Relationship Type="http://schemas.openxmlformats.org/officeDocument/2006/relationships/worksheet" Target="/xl/worksheets/sheet8.xml" Id="R330d6d111dae4bb7" /><Relationship Type="http://schemas.openxmlformats.org/officeDocument/2006/relationships/worksheet" Target="/xl/worksheets/sheet9.xml" Id="R37a3975a651c4942" /><Relationship Type="http://schemas.openxmlformats.org/officeDocument/2006/relationships/worksheet" Target="/xl/worksheets/sheet10.xml" Id="R2b1f7ccc7d4a4aba" /><Relationship Type="http://schemas.openxmlformats.org/officeDocument/2006/relationships/worksheet" Target="/xl/worksheets/sheet11.xml" Id="Rb0b2d5dcd27142cb" /><Relationship Type="http://schemas.openxmlformats.org/officeDocument/2006/relationships/worksheet" Target="/xl/worksheets/sheet12.xml" Id="Rce0c85c573ee4a6b" /><Relationship Type="http://schemas.openxmlformats.org/officeDocument/2006/relationships/worksheet" Target="/xl/worksheets/sheet13.xml" Id="R286f6129249d4690" /><Relationship Type="http://schemas.openxmlformats.org/officeDocument/2006/relationships/worksheet" Target="/xl/worksheets/sheet14.xml" Id="Rf4f919b7491047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7" customHeight="1">
      <x:c r="A1" s="3" t="str">
        <x:v>01 Instructions / Overview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9" customHeight="1">
      <x:c r="A3" s="7" t="str">
        <x:v>SMSM • 23 Oct 2026 close • historical Rp million, price Rp/share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19" customHeight="1"/>
    <x:row r="5" ht="19" customHeight="1">
      <x:c r="A5" s="14" t="str">
        <x:v>MODEL GOVERNANCE</x:v>
      </x:c>
      <x:c r="B5" s="15"/>
      <x:c r="C5" s="15"/>
      <x:c r="D5" s="15"/>
      <x:c r="E5" s="15"/>
      <x:c r="F5" s="15"/>
      <x:c r="G5" s="15"/>
      <x:c r="H5" s="15"/>
      <x:c r="I5" s="15"/>
      <x:c r="J5" s="15"/>
    </x:row>
    <x:row r="6" ht="19" customHeight="1">
      <x:c r="B6" s="10"/>
      <x:c r="C6" s="10"/>
      <x:c r="D6" s="10"/>
      <x:c r="E6" s="10"/>
      <x:c r="F6" s="10"/>
      <x:c r="G6" s="10"/>
      <x:c r="H6" s="10"/>
      <x:c r="I6" s="10"/>
      <x:c r="J6" s="10"/>
    </x:row>
    <x:row r="7" ht="19" customHeight="1">
      <x:c r="A7" t="str">
        <x:v>Company</x:v>
      </x:c>
      <x:c r="B7" s="10" t="str">
        <x:v>PT Selamat Sempurna Tbk — IDX SMSM</x:v>
      </x:c>
      <x:c r="C7" s="10"/>
      <x:c r="D7" s="10"/>
      <x:c r="E7" s="10"/>
      <x:c r="F7" s="10"/>
      <x:c r="G7" s="10"/>
      <x:c r="H7" s="10"/>
      <x:c r="I7" s="10"/>
      <x:c r="J7" s="10"/>
    </x:row>
    <x:row r="8" ht="19" customHeight="1">
      <x:c r="A8" t="str">
        <x:v>Valuation date</x:v>
      </x:c>
      <x:c r="B8" s="10" t="str">
        <x:v>23 October 2026 (Indonesia market close)</x:v>
      </x:c>
      <x:c r="C8" s="10"/>
      <x:c r="D8" s="10"/>
      <x:c r="E8" s="10"/>
      <x:c r="F8" s="10"/>
      <x:c r="G8" s="10"/>
      <x:c r="H8" s="10"/>
      <x:c r="I8" s="10"/>
      <x:c r="J8" s="10"/>
    </x:row>
    <x:row r="9" ht="19" customHeight="1">
      <x:c r="A9" t="str">
        <x:v>Last actual balance sheet</x:v>
      </x:c>
      <x:c r="B9" s="10" t="str">
        <x:v>30 June 2026 (unaudited)</x:v>
      </x:c>
      <x:c r="C9" s="10"/>
      <x:c r="D9" s="10"/>
      <x:c r="E9" s="10"/>
      <x:c r="F9" s="10"/>
      <x:c r="G9" s="10"/>
      <x:c r="H9" s="10"/>
      <x:c r="I9" s="10"/>
      <x:c r="J9" s="10"/>
    </x:row>
    <x:row r="10" ht="19" customHeight="1">
      <x:c r="A10" t="str">
        <x:v>Audited annual foundation</x:v>
      </x:c>
      <x:c r="B10" s="10" t="str">
        <x:v>FY2025 and historical FY2021–FY2024, FY2023 restated</x:v>
      </x:c>
      <x:c r="C10" s="10"/>
      <x:c r="D10" s="10"/>
      <x:c r="E10" s="10"/>
      <x:c r="F10" s="10"/>
      <x:c r="G10" s="10"/>
      <x:c r="H10" s="10"/>
      <x:c r="I10" s="10"/>
      <x:c r="J10" s="10"/>
    </x:row>
    <x:row r="11" ht="19" customHeight="1">
      <x:c r="A11" t="str">
        <x:v>Market observed price</x:v>
      </x:c>
      <x:c r="B11" s="10" t="str">
        <x:v>Rp1,670 on 23 Oct 2026; secondary market records</x:v>
      </x:c>
      <x:c r="C11" s="10"/>
      <x:c r="D11" s="10"/>
      <x:c r="E11" s="10"/>
      <x:c r="F11" s="10"/>
      <x:c r="G11" s="10"/>
      <x:c r="H11" s="10"/>
      <x:c r="I11" s="10"/>
      <x:c r="J11" s="10"/>
    </x:row>
    <x:row r="12" ht="19" customHeight="1">
      <x:c r="A12" t="str">
        <x:v>External equity peer price convention</x:v>
      </x:c>
      <x:c r="B12" s="10" t="str">
        <x:v>ATMU / DCI use 22 Oct 2026 US closing prices, not 23 Oct US close</x:v>
      </x:c>
      <x:c r="C12" s="10"/>
      <x:c r="D12" s="10"/>
      <x:c r="E12" s="10"/>
      <x:c r="F12" s="10"/>
      <x:c r="G12" s="10"/>
      <x:c r="H12" s="10"/>
      <x:c r="I12" s="10"/>
      <x:c r="J12" s="10"/>
    </x:row>
    <x:row r="13" ht="19" customHeight="1">
      <x:c r="A13" t="str">
        <x:v>Input policy</x:v>
      </x:c>
      <x:c r="B13" s="10" t="str">
        <x:v>BLUE=observed/analyst hardcodes; GREEN=cross-sheet links; BLACK=within-sheet calculation</x:v>
      </x:c>
      <x:c r="C13" s="10"/>
      <x:c r="D13" s="10"/>
      <x:c r="E13" s="10"/>
      <x:c r="F13" s="10"/>
      <x:c r="G13" s="10"/>
      <x:c r="H13" s="10"/>
      <x:c r="I13" s="10"/>
      <x:c r="J13" s="10"/>
    </x:row>
    <x:row r="14" ht="19" customHeight="1">
      <x:c r="A14" t="str">
        <x:v>Units</x:v>
      </x:c>
      <x:c r="B14" s="10" t="str">
        <x:v>SMSM in Rp million; peer figures in USD million or IDR million separately</x:v>
      </x:c>
      <x:c r="C14" s="10"/>
      <x:c r="D14" s="10"/>
      <x:c r="E14" s="10"/>
      <x:c r="F14" s="10"/>
      <x:c r="G14" s="10"/>
      <x:c r="H14" s="10"/>
      <x:c r="I14" s="10"/>
      <x:c r="J14" s="10"/>
    </x:row>
    <x:row r="15" ht="19" customHeight="1">
      <x:c r="A15" t="str">
        <x:v>Data flags</x:v>
      </x:c>
      <x:c r="B15" s="10" t="str">
        <x:v>R reported; RS restated; D derived; A assumption; P proxy; U unresolved</x:v>
      </x:c>
      <x:c r="C15" s="10"/>
      <x:c r="D15" s="10"/>
      <x:c r="E15" s="10"/>
      <x:c r="F15" s="10"/>
      <x:c r="G15" s="10"/>
      <x:c r="H15" s="10"/>
      <x:c r="I15" s="10"/>
      <x:c r="J15" s="10"/>
    </x:row>
    <x:row r="16" ht="19" customHeight="1">
      <x:c r="A16" t="str">
        <x:v>Known critical limitations</x:v>
      </x:c>
      <x:c r="B16" s="10" t="str">
        <x:v>H1 2025 exact CFO/D&amp;A/NWC components incomplete; historical TTM is limited</x:v>
      </x:c>
      <x:c r="C16" s="10"/>
      <x:c r="D16" s="10"/>
      <x:c r="E16" s="10"/>
      <x:c r="F16" s="10"/>
      <x:c r="G16" s="10"/>
      <x:c r="H16" s="10"/>
      <x:c r="I16" s="10"/>
      <x:c r="J16" s="10"/>
    </x:row>
    <x:row r="17" ht="19" customHeight="1">
      <x:c r="A17" t="str">
        <x:v>Economic bridge</x:v>
      </x:c>
      <x:c r="B17" s="10" t="str">
        <x:v>June-October cash roll-forward is an estimate; sensitive to actual activity</x:v>
      </x:c>
      <x:c r="C17" s="10"/>
      <x:c r="D17" s="10"/>
      <x:c r="E17" s="10"/>
      <x:c r="F17" s="10"/>
      <x:c r="G17" s="10"/>
      <x:c r="H17" s="10"/>
      <x:c r="I17" s="10"/>
      <x:c r="J17" s="10"/>
    </x:row>
    <x:row r="18" ht="19" customHeight="1">
      <x:c r="A18" t="str">
        <x:v>Peer method</x:v>
      </x:c>
      <x:c r="B18" s="10" t="str">
        <x:v>Only informational peer band until all adjustments validated; AUTO excluded from valid EV peer sample</x:v>
      </x:c>
      <x:c r="C18" s="10"/>
      <x:c r="D18" s="10"/>
      <x:c r="E18" s="10"/>
      <x:c r="F18" s="10"/>
      <x:c r="G18" s="10"/>
      <x:c r="H18" s="10"/>
      <x:c r="I18" s="10"/>
      <x:c r="J18" s="10"/>
    </x:row>
    <x:row r="19" ht="19" customHeight="1">
      <x:c r="A19" t="str">
        <x:v>Stage boundary</x:v>
      </x:c>
      <x:c r="B19" s="10" t="str">
        <x:v>Numerical reference workbook ONLY; not VBA submission or Streamlit application</x:v>
      </x:c>
      <x:c r="C19" s="10"/>
      <x:c r="D19" s="10"/>
      <x:c r="E19" s="10"/>
      <x:c r="F19" s="10"/>
      <x:c r="G19" s="10"/>
      <x:c r="H19" s="10"/>
      <x:c r="I19" s="10"/>
      <x:c r="J19" s="10"/>
    </x:row>
    <x:row r="20" ht="19" customHeight="1">
      <x:c r="B20" s="10"/>
      <x:c r="C20" s="10"/>
      <x:c r="D20" s="10"/>
      <x:c r="E20" s="10"/>
      <x:c r="F20" s="10"/>
      <x:c r="G20" s="10"/>
      <x:c r="H20" s="10"/>
      <x:c r="I20" s="10"/>
      <x:c r="J20" s="10"/>
    </x:row>
    <x:row r="21" ht="19" customHeight="1">
      <x:c r="B21" s="10"/>
      <x:c r="C21" s="10"/>
      <x:c r="D21" s="10"/>
      <x:c r="E21" s="10"/>
      <x:c r="F21" s="10"/>
      <x:c r="G21" s="10"/>
      <x:c r="H21" s="10"/>
      <x:c r="I21" s="10"/>
      <x:c r="J21" s="10"/>
    </x:row>
    <x:row r="22" ht="19" customHeight="1">
      <x:c r="B22" s="10"/>
      <x:c r="C22" s="10"/>
      <x:c r="D22" s="10"/>
      <x:c r="E22" s="10"/>
      <x:c r="F22" s="10"/>
      <x:c r="G22" s="10"/>
      <x:c r="H22" s="10"/>
      <x:c r="I22" s="10"/>
      <x:c r="J22" s="10"/>
    </x:row>
    <x:row r="23" ht="19" customHeight="1">
      <x:c r="A23" s="14" t="str">
        <x:v>WORKFLOW</x:v>
      </x:c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 ht="19" customHeight="1">
      <x:c r="B24" s="10"/>
      <x:c r="C24" s="10"/>
      <x:c r="D24" s="10"/>
      <x:c r="E24" s="10"/>
      <x:c r="F24" s="10"/>
      <x:c r="G24" s="10"/>
      <x:c r="H24" s="10"/>
      <x:c r="I24" s="10"/>
      <x:c r="J24" s="10"/>
    </x:row>
    <x:row r="25" ht="19" customHeight="1">
      <x:c r="A25" t="str">
        <x:v>1. Review 02 source-based annual/TTM data and Stage2B lineage.</x:v>
      </x:c>
      <x:c r="B25" s="10"/>
      <x:c r="C25" s="10"/>
      <x:c r="D25" s="10"/>
      <x:c r="E25" s="10"/>
      <x:c r="F25" s="10"/>
      <x:c r="G25" s="10"/>
      <x:c r="H25" s="10"/>
      <x:c r="I25" s="10"/>
      <x:c r="J25" s="10"/>
    </x:row>
    <x:row r="26" ht="19" customHeight="1">
      <x:c r="A26" t="str">
        <x:v>2. Modify BLUE economic assumptions only on 03,06,08,09 and scenario setup.</x:v>
      </x:c>
      <x:c r="B26" s="10"/>
      <x:c r="C26" s="10"/>
      <x:c r="D26" s="10"/>
      <x:c r="E26" s="10"/>
      <x:c r="F26" s="10"/>
      <x:c r="G26" s="10"/>
      <x:c r="H26" s="10"/>
      <x:c r="I26" s="10"/>
      <x:c r="J26" s="10"/>
    </x:row>
    <x:row r="27" ht="19" customHeight="1">
      <x:c r="A27" t="str">
        <x:v>3. Review modeled 2026–2031 FCFF and time fractions in 04/05/07.</x:v>
      </x:c>
      <x:c r="B27" s="10"/>
      <x:c r="C27" s="10"/>
      <x:c r="D27" s="10"/>
      <x:c r="E27" s="10"/>
      <x:c r="F27" s="10"/>
      <x:c r="G27" s="10"/>
      <x:c r="H27" s="10"/>
      <x:c r="I27" s="10"/>
      <x:c r="J27" s="10"/>
    </x:row>
    <x:row r="28" ht="19" customHeight="1">
      <x:c r="A28" t="str">
        <x:v>4. Check independent peer outputs; AUTO is excluded from validated peer range.</x:v>
      </x:c>
      <x:c r="B28" s="10"/>
      <x:c r="C28" s="10"/>
      <x:c r="D28" s="10"/>
      <x:c r="E28" s="10"/>
      <x:c r="F28" s="10"/>
      <x:c r="G28" s="10"/>
      <x:c r="H28" s="10"/>
      <x:c r="I28" s="10"/>
      <x:c r="J28" s="10"/>
    </x:row>
    <x:row r="29" ht="19" customHeight="1">
      <x:c r="A29" t="str">
        <x:v>5. Check 13 numerical controls; interpret scenario results in 12.</x:v>
      </x:c>
      <x:c r="B29" s="10"/>
      <x:c r="C29" s="10"/>
      <x:c r="D29" s="10"/>
      <x:c r="E29" s="10"/>
      <x:c r="F29" s="10"/>
      <x:c r="G29" s="10"/>
      <x:c r="H29" s="10"/>
      <x:c r="I29" s="10"/>
      <x:c r="J29" s="10"/>
    </x:row>
    <x:row r="30" ht="19" customHeight="1">
      <x:c r="A30" t="str">
        <x:v>6. Before external publication, confirm 23 Oct share register and claim values.</x:v>
      </x:c>
      <x:c r="B30" s="10"/>
      <x:c r="C30" s="10"/>
      <x:c r="D30" s="10"/>
      <x:c r="E30" s="10"/>
      <x:c r="F30" s="10"/>
      <x:c r="G30" s="10"/>
      <x:c r="H30" s="10"/>
      <x:c r="I30" s="10"/>
      <x:c r="J30" s="10"/>
    </x:row>
    <x:row r="31" ht="19" customHeight="1">
      <x:c r="B31" s="10"/>
      <x:c r="C31" s="10"/>
      <x:c r="D31" s="10"/>
      <x:c r="E31" s="10"/>
      <x:c r="F31" s="10"/>
      <x:c r="G31" s="10"/>
      <x:c r="H31" s="10"/>
      <x:c r="I31" s="10"/>
      <x:c r="J31" s="10"/>
    </x:row>
    <x:row r="32" ht="19" customHeight="1">
      <x:c r="B32" s="10"/>
      <x:c r="C32" s="10"/>
      <x:c r="D32" s="10"/>
      <x:c r="E32" s="10"/>
      <x:c r="F32" s="10"/>
      <x:c r="G32" s="10"/>
      <x:c r="H32" s="10"/>
      <x:c r="I32" s="10"/>
      <x:c r="J32" s="10"/>
    </x:row>
    <x:row r="33" ht="19" customHeight="1">
      <x:c r="B33" s="10"/>
      <x:c r="C33" s="10"/>
      <x:c r="D33" s="10"/>
      <x:c r="E33" s="10"/>
      <x:c r="F33" s="10"/>
      <x:c r="G33" s="10"/>
      <x:c r="H33" s="10"/>
      <x:c r="I33" s="10"/>
      <x:c r="J33" s="10"/>
    </x:row>
    <x:row r="34" ht="19" customHeight="1">
      <x:c r="B34" s="10"/>
      <x:c r="C34" s="10"/>
      <x:c r="D34" s="10"/>
      <x:c r="E34" s="10"/>
      <x:c r="F34" s="10"/>
      <x:c r="G34" s="10"/>
      <x:c r="H34" s="10"/>
      <x:c r="I34" s="10"/>
      <x:c r="J34" s="10"/>
    </x:row>
    <x:row r="35" ht="19" customHeight="1">
      <x:c r="B35" s="10"/>
      <x:c r="C35" s="10"/>
      <x:c r="D35" s="10"/>
      <x:c r="E35" s="10"/>
      <x:c r="F35" s="10"/>
      <x:c r="G35" s="10"/>
      <x:c r="H35" s="10"/>
      <x:c r="I35" s="10"/>
      <x:c r="J35" s="10"/>
    </x:row>
    <x:row r="36" ht="19" customHeight="1">
      <x:c r="B36" s="10"/>
      <x:c r="C36" s="10"/>
      <x:c r="D36" s="10"/>
      <x:c r="E36" s="10"/>
      <x:c r="F36" s="10"/>
      <x:c r="G36" s="10"/>
      <x:c r="H36" s="10"/>
      <x:c r="I36" s="10"/>
      <x:c r="J36" s="10"/>
    </x:row>
    <x:row r="37" ht="19" customHeight="1">
      <x:c r="B37" s="10"/>
      <x:c r="C37" s="10"/>
      <x:c r="D37" s="10"/>
      <x:c r="E37" s="10"/>
      <x:c r="F37" s="10"/>
      <x:c r="G37" s="10"/>
      <x:c r="H37" s="10"/>
      <x:c r="I37" s="10"/>
      <x:c r="J37" s="10"/>
    </x:row>
    <x:row r="38" ht="19" customHeight="1">
      <x:c r="B38" s="10"/>
      <x:c r="C38" s="10"/>
      <x:c r="D38" s="10"/>
      <x:c r="E38" s="10"/>
      <x:c r="F38" s="10"/>
      <x:c r="G38" s="10"/>
      <x:c r="H38" s="10"/>
      <x:c r="I38" s="10"/>
      <x:c r="J38" s="10"/>
    </x:row>
    <x:row r="39" ht="19" customHeight="1">
      <x:c r="B39" s="10"/>
      <x:c r="C39" s="10"/>
      <x:c r="D39" s="10"/>
      <x:c r="E39" s="10"/>
      <x:c r="F39" s="10"/>
      <x:c r="G39" s="10"/>
      <x:c r="H39" s="10"/>
      <x:c r="I39" s="10"/>
      <x:c r="J39" s="10"/>
    </x:row>
    <x:row r="40" ht="19" customHeight="1">
      <x:c r="B40" s="10"/>
      <x:c r="C40" s="10"/>
      <x:c r="D40" s="10"/>
      <x:c r="E40" s="10"/>
      <x:c r="F40" s="10"/>
      <x:c r="G40" s="10"/>
      <x:c r="H40" s="10"/>
      <x:c r="I40" s="10"/>
      <x:c r="J40" s="10"/>
    </x:row>
    <x:row r="41" ht="19" customHeight="1">
      <x:c r="B41" s="10"/>
      <x:c r="C41" s="10"/>
      <x:c r="D41" s="10"/>
      <x:c r="E41" s="10"/>
      <x:c r="F41" s="10"/>
      <x:c r="G41" s="10"/>
      <x:c r="H41" s="10"/>
      <x:c r="I41" s="10"/>
      <x:c r="J41" s="10"/>
    </x:row>
    <x:row r="42" ht="19" customHeight="1">
      <x:c r="B42" s="10"/>
      <x:c r="C42" s="10"/>
      <x:c r="D42" s="10"/>
      <x:c r="E42" s="10"/>
      <x:c r="F42" s="10"/>
      <x:c r="G42" s="10"/>
      <x:c r="H42" s="10"/>
      <x:c r="I42" s="10"/>
      <x:c r="J42" s="10"/>
    </x:row>
    <x:row r="43" ht="19" customHeight="1">
      <x:c r="B43" s="10"/>
      <x:c r="C43" s="10"/>
      <x:c r="D43" s="10"/>
      <x:c r="E43" s="10"/>
      <x:c r="F43" s="10"/>
      <x:c r="G43" s="10"/>
      <x:c r="H43" s="10"/>
      <x:c r="I43" s="10"/>
      <x:c r="J43" s="10"/>
    </x:row>
    <x:row r="44" ht="19" customHeight="1">
      <x:c r="B44" s="10"/>
      <x:c r="C44" s="10"/>
      <x:c r="D44" s="10"/>
      <x:c r="E44" s="10"/>
      <x:c r="F44" s="10"/>
      <x:c r="G44" s="10"/>
      <x:c r="H44" s="10"/>
      <x:c r="I44" s="10"/>
      <x:c r="J44" s="10"/>
    </x:row>
    <x:row r="45" ht="19" customHeight="1">
      <x:c r="B45" s="10"/>
      <x:c r="C45" s="10"/>
      <x:c r="D45" s="10"/>
      <x:c r="E45" s="10"/>
      <x:c r="F45" s="10"/>
      <x:c r="G45" s="10"/>
      <x:c r="H45" s="10"/>
      <x:c r="I45" s="10"/>
      <x:c r="J45" s="10"/>
    </x:row>
    <x:row r="46" ht="19" customHeight="1">
      <x:c r="B46" s="10"/>
      <x:c r="C46" s="10"/>
      <x:c r="D46" s="10"/>
      <x:c r="E46" s="10"/>
      <x:c r="F46" s="10"/>
      <x:c r="G46" s="10"/>
      <x:c r="H46" s="10"/>
      <x:c r="I46" s="10"/>
      <x:c r="J46" s="10"/>
    </x:row>
    <x:row r="47" ht="19" customHeight="1">
      <x:c r="B47" s="10"/>
      <x:c r="C47" s="10"/>
      <x:c r="D47" s="10"/>
      <x:c r="E47" s="10"/>
      <x:c r="F47" s="10"/>
      <x:c r="G47" s="10"/>
      <x:c r="H47" s="10"/>
      <x:c r="I47" s="10"/>
      <x:c r="J47" s="10"/>
    </x:row>
    <x:row r="48" ht="19" customHeight="1">
      <x:c r="B48" s="10"/>
      <x:c r="C48" s="10"/>
      <x:c r="D48" s="10"/>
      <x:c r="E48" s="10"/>
      <x:c r="F48" s="10"/>
      <x:c r="G48" s="10"/>
      <x:c r="H48" s="10"/>
      <x:c r="I48" s="10"/>
      <x:c r="J48" s="10"/>
    </x:row>
    <x:row r="49" ht="19" customHeight="1">
      <x:c r="B49" s="10"/>
      <x:c r="C49" s="10"/>
      <x:c r="D49" s="10"/>
      <x:c r="E49" s="10"/>
      <x:c r="F49" s="10"/>
      <x:c r="G49" s="10"/>
      <x:c r="H49" s="10"/>
      <x:c r="I49" s="10"/>
      <x:c r="J49" s="10"/>
    </x:row>
    <x:row r="50" ht="19" customHeight="1">
      <x:c r="B50" s="10"/>
      <x:c r="C50" s="10"/>
      <x:c r="D50" s="10"/>
      <x:c r="E50" s="10"/>
      <x:c r="F50" s="10"/>
      <x:c r="G50" s="10"/>
      <x:c r="H50" s="10"/>
      <x:c r="I50" s="10"/>
      <x:c r="J50" s="10"/>
    </x:row>
    <x:row r="51" ht="19" customHeight="1">
      <x:c r="B51" s="10"/>
      <x:c r="C51" s="10"/>
      <x:c r="D51" s="10"/>
      <x:c r="E51" s="10"/>
      <x:c r="F51" s="10"/>
      <x:c r="G51" s="10"/>
      <x:c r="H51" s="10"/>
      <x:c r="I51" s="10"/>
      <x:c r="J51" s="10"/>
    </x:row>
    <x:row r="52" ht="19" customHeight="1">
      <x:c r="B52" s="10"/>
      <x:c r="C52" s="10"/>
      <x:c r="D52" s="10"/>
      <x:c r="E52" s="10"/>
      <x:c r="F52" s="10"/>
      <x:c r="G52" s="10"/>
      <x:c r="H52" s="10"/>
      <x:c r="I52" s="10"/>
      <x:c r="J52" s="10"/>
    </x:row>
    <x:row r="53" ht="19" customHeight="1">
      <x:c r="B53" s="10"/>
      <x:c r="C53" s="10"/>
      <x:c r="D53" s="10"/>
      <x:c r="E53" s="10"/>
      <x:c r="F53" s="10"/>
      <x:c r="G53" s="10"/>
      <x:c r="H53" s="10"/>
      <x:c r="I53" s="10"/>
      <x:c r="J53" s="10"/>
    </x:row>
    <x:row r="54" ht="19" customHeight="1">
      <x:c r="B54" s="10"/>
      <x:c r="C54" s="10"/>
      <x:c r="D54" s="10"/>
      <x:c r="E54" s="10"/>
      <x:c r="F54" s="10"/>
      <x:c r="G54" s="10"/>
      <x:c r="H54" s="10"/>
      <x:c r="I54" s="10"/>
      <x:c r="J54" s="10"/>
    </x:row>
    <x:row r="55" ht="19" customHeight="1">
      <x:c r="B55" s="10"/>
      <x:c r="C55" s="10"/>
      <x:c r="D55" s="10"/>
      <x:c r="E55" s="10"/>
      <x:c r="F55" s="10"/>
      <x:c r="G55" s="10"/>
      <x:c r="H55" s="10"/>
      <x:c r="I55" s="10"/>
      <x:c r="J55" s="10"/>
    </x:row>
    <x:row r="56" ht="19" customHeight="1">
      <x:c r="B56" s="10"/>
      <x:c r="C56" s="10"/>
      <x:c r="D56" s="10"/>
      <x:c r="E56" s="10"/>
      <x:c r="F56" s="10"/>
      <x:c r="G56" s="10"/>
      <x:c r="H56" s="10"/>
      <x:c r="I56" s="10"/>
      <x:c r="J56" s="10"/>
    </x:row>
    <x:row r="57" ht="19" customHeight="1">
      <x:c r="B57" s="10"/>
      <x:c r="C57" s="10"/>
      <x:c r="D57" s="10"/>
      <x:c r="E57" s="10"/>
      <x:c r="F57" s="10"/>
      <x:c r="G57" s="10"/>
      <x:c r="H57" s="10"/>
      <x:c r="I57" s="10"/>
      <x:c r="J57" s="10"/>
    </x:row>
    <x:row r="58" ht="19" customHeight="1">
      <x:c r="B58" s="10"/>
      <x:c r="C58" s="10"/>
      <x:c r="D58" s="10"/>
      <x:c r="E58" s="10"/>
      <x:c r="F58" s="10"/>
      <x:c r="G58" s="10"/>
      <x:c r="H58" s="10"/>
      <x:c r="I58" s="10"/>
      <x:c r="J58" s="10"/>
    </x:row>
    <x:row r="59" ht="19" customHeight="1">
      <x:c r="B59" s="10"/>
      <x:c r="C59" s="10"/>
      <x:c r="D59" s="10"/>
      <x:c r="E59" s="10"/>
      <x:c r="F59" s="10"/>
      <x:c r="G59" s="10"/>
      <x:c r="H59" s="10"/>
      <x:c r="I59" s="10"/>
      <x:c r="J59" s="10"/>
    </x:row>
    <x:row r="60" ht="19" customHeight="1">
      <x:c r="B60" s="10"/>
      <x:c r="C60" s="10"/>
      <x:c r="D60" s="10"/>
      <x:c r="E60" s="10"/>
      <x:c r="F60" s="10"/>
      <x:c r="G60" s="10"/>
      <x:c r="H60" s="10"/>
      <x:c r="I60" s="10"/>
      <x:c r="J60" s="10"/>
    </x:row>
    <x:row r="61" ht="19" customHeight="1">
      <x:c r="B61" s="10"/>
      <x:c r="C61" s="10"/>
      <x:c r="D61" s="10"/>
      <x:c r="E61" s="10"/>
      <x:c r="F61" s="10"/>
      <x:c r="G61" s="10"/>
      <x:c r="H61" s="10"/>
      <x:c r="I61" s="10"/>
      <x:c r="J61" s="10"/>
    </x:row>
    <x:row r="62" ht="19" customHeight="1">
      <x:c r="B62" s="10"/>
      <x:c r="C62" s="10"/>
      <x:c r="D62" s="10"/>
      <x:c r="E62" s="10"/>
      <x:c r="F62" s="10"/>
      <x:c r="G62" s="10"/>
      <x:c r="H62" s="10"/>
      <x:c r="I62" s="10"/>
      <x:c r="J62" s="10"/>
    </x:row>
    <x:row r="63" ht="19" customHeight="1">
      <x:c r="B63" s="10"/>
      <x:c r="C63" s="10"/>
      <x:c r="D63" s="10"/>
      <x:c r="E63" s="10"/>
      <x:c r="F63" s="10"/>
      <x:c r="G63" s="10"/>
      <x:c r="H63" s="10"/>
      <x:c r="I63" s="10"/>
      <x:c r="J63" s="10"/>
    </x:row>
    <x:row r="64" ht="19" customHeight="1">
      <x:c r="B64" s="10"/>
      <x:c r="C64" s="10"/>
      <x:c r="D64" s="10"/>
      <x:c r="E64" s="10"/>
      <x:c r="F64" s="10"/>
      <x:c r="G64" s="10"/>
      <x:c r="H64" s="10"/>
      <x:c r="I64" s="10"/>
      <x:c r="J64" s="10"/>
    </x:row>
    <x:row r="65" ht="19" customHeight="1">
      <x:c r="B65" s="10"/>
      <x:c r="C65" s="10"/>
      <x:c r="D65" s="10"/>
      <x:c r="E65" s="10"/>
      <x:c r="F65" s="10"/>
      <x:c r="G65" s="10"/>
      <x:c r="H65" s="10"/>
      <x:c r="I65" s="10"/>
      <x:c r="J65" s="10"/>
    </x:row>
    <x:row r="66" ht="19" customHeight="1">
      <x:c r="B66" s="10"/>
      <x:c r="C66" s="10"/>
      <x:c r="D66" s="10"/>
      <x:c r="E66" s="10"/>
      <x:c r="F66" s="10"/>
      <x:c r="G66" s="10"/>
      <x:c r="H66" s="10"/>
      <x:c r="I66" s="10"/>
      <x:c r="J66" s="10"/>
    </x:row>
    <x:row r="67" ht="19" customHeight="1">
      <x:c r="B67" s="10"/>
      <x:c r="C67" s="10"/>
      <x:c r="D67" s="10"/>
      <x:c r="E67" s="10"/>
      <x:c r="F67" s="10"/>
      <x:c r="G67" s="10"/>
      <x:c r="H67" s="10"/>
      <x:c r="I67" s="10"/>
      <x:c r="J67" s="10"/>
    </x:row>
    <x:row r="68" ht="19" customHeight="1">
      <x:c r="B68" s="10"/>
      <x:c r="C68" s="10"/>
      <x:c r="D68" s="10"/>
      <x:c r="E68" s="10"/>
      <x:c r="F68" s="10"/>
      <x:c r="G68" s="10"/>
      <x:c r="H68" s="10"/>
      <x:c r="I68" s="10"/>
      <x:c r="J68" s="10"/>
    </x:row>
    <x:row r="69" ht="19" customHeight="1">
      <x:c r="B69" s="10"/>
      <x:c r="C69" s="10"/>
      <x:c r="D69" s="10"/>
      <x:c r="E69" s="10"/>
      <x:c r="F69" s="10"/>
      <x:c r="G69" s="10"/>
      <x:c r="H69" s="10"/>
      <x:c r="I69" s="10"/>
      <x:c r="J69" s="10"/>
    </x:row>
    <x:row r="70" ht="19" customHeight="1">
      <x:c r="B70" s="10"/>
      <x:c r="C70" s="10"/>
      <x:c r="D70" s="10"/>
      <x:c r="E70" s="10"/>
      <x:c r="F70" s="10"/>
      <x:c r="G70" s="10"/>
      <x:c r="H70" s="10"/>
      <x:c r="I70" s="10"/>
      <x:c r="J70" s="10"/>
    </x:row>
    <x:row r="71" ht="19" customHeight="1">
      <x:c r="B71" s="10"/>
      <x:c r="C71" s="10"/>
      <x:c r="D71" s="10"/>
      <x:c r="E71" s="10"/>
      <x:c r="F71" s="10"/>
      <x:c r="G71" s="10"/>
      <x:c r="H71" s="10"/>
      <x:c r="I71" s="10"/>
      <x:c r="J71" s="10"/>
    </x:row>
    <x:row r="72" ht="19" customHeight="1">
      <x:c r="B72" s="10"/>
      <x:c r="C72" s="10"/>
      <x:c r="D72" s="10"/>
      <x:c r="E72" s="10"/>
      <x:c r="F72" s="10"/>
      <x:c r="G72" s="10"/>
      <x:c r="H72" s="10"/>
      <x:c r="I72" s="10"/>
      <x:c r="J72" s="10"/>
    </x:row>
    <x:row r="73" ht="19" customHeight="1">
      <x:c r="B73" s="10"/>
      <x:c r="C73" s="10"/>
      <x:c r="D73" s="10"/>
      <x:c r="E73" s="10"/>
      <x:c r="F73" s="10"/>
      <x:c r="G73" s="10"/>
      <x:c r="H73" s="10"/>
      <x:c r="I73" s="10"/>
      <x:c r="J73" s="10"/>
    </x:row>
    <x:row r="74" ht="19" customHeight="1">
      <x:c r="B74" s="10"/>
      <x:c r="C74" s="10"/>
      <x:c r="D74" s="10"/>
      <x:c r="E74" s="10"/>
      <x:c r="F74" s="10"/>
      <x:c r="G74" s="10"/>
      <x:c r="H74" s="10"/>
      <x:c r="I74" s="10"/>
      <x:c r="J74" s="10"/>
    </x:row>
    <x:row r="75" ht="19" customHeight="1">
      <x:c r="B75" s="10"/>
      <x:c r="C75" s="10"/>
      <x:c r="D75" s="10"/>
      <x:c r="E75" s="10"/>
      <x:c r="F75" s="10"/>
      <x:c r="G75" s="10"/>
      <x:c r="H75" s="10"/>
      <x:c r="I75" s="10"/>
      <x:c r="J75" s="10"/>
    </x:row>
    <x:row r="76" ht="19" customHeight="1">
      <x:c r="B76" s="10"/>
      <x:c r="C76" s="10"/>
      <x:c r="D76" s="10"/>
      <x:c r="E76" s="10"/>
      <x:c r="F76" s="10"/>
      <x:c r="G76" s="10"/>
      <x:c r="H76" s="10"/>
      <x:c r="I76" s="10"/>
      <x:c r="J76" s="10"/>
    </x:row>
    <x:row r="77" ht="19" customHeight="1">
      <x:c r="B77" s="10"/>
      <x:c r="C77" s="10"/>
      <x:c r="D77" s="10"/>
      <x:c r="E77" s="10"/>
      <x:c r="F77" s="10"/>
      <x:c r="G77" s="10"/>
      <x:c r="H77" s="10"/>
      <x:c r="I77" s="10"/>
      <x:c r="J77" s="10"/>
    </x:row>
    <x:row r="78" ht="19" customHeight="1">
      <x:c r="B78" s="10"/>
      <x:c r="C78" s="10"/>
      <x:c r="D78" s="10"/>
      <x:c r="E78" s="10"/>
      <x:c r="F78" s="10"/>
      <x:c r="G78" s="10"/>
      <x:c r="H78" s="10"/>
      <x:c r="I78" s="10"/>
      <x:c r="J78" s="10"/>
    </x:row>
    <x:row r="79" ht="19" customHeight="1">
      <x:c r="B79" s="10"/>
      <x:c r="C79" s="10"/>
      <x:c r="D79" s="10"/>
      <x:c r="E79" s="10"/>
      <x:c r="F79" s="10"/>
      <x:c r="G79" s="10"/>
      <x:c r="H79" s="10"/>
      <x:c r="I79" s="10"/>
      <x:c r="J79" s="10"/>
    </x:row>
    <x:row r="80" ht="19" customHeight="1">
      <x:c r="B80" s="10"/>
      <x:c r="C80" s="10"/>
      <x:c r="D80" s="10"/>
      <x:c r="E80" s="10"/>
      <x:c r="F80" s="10"/>
      <x:c r="G80" s="10"/>
      <x:c r="H80" s="10"/>
      <x:c r="I80" s="10"/>
      <x:c r="J80" s="10"/>
    </x:row>
    <x:row r="81" ht="19" customHeight="1">
      <x:c r="B81" s="10"/>
      <x:c r="C81" s="10"/>
      <x:c r="D81" s="10"/>
      <x:c r="E81" s="10"/>
      <x:c r="F81" s="10"/>
      <x:c r="G81" s="10"/>
      <x:c r="H81" s="10"/>
      <x:c r="I81" s="10"/>
      <x:c r="J81" s="10"/>
    </x:row>
    <x:row r="82" ht="19" customHeight="1">
      <x:c r="B82" s="10"/>
      <x:c r="C82" s="10"/>
      <x:c r="D82" s="10"/>
      <x:c r="E82" s="10"/>
      <x:c r="F82" s="10"/>
      <x:c r="G82" s="10"/>
      <x:c r="H82" s="10"/>
      <x:c r="I82" s="10"/>
      <x:c r="J82" s="10"/>
    </x:row>
    <x:row r="83" ht="19" customHeight="1">
      <x:c r="B83" s="10"/>
      <x:c r="C83" s="10"/>
      <x:c r="D83" s="10"/>
      <x:c r="E83" s="10"/>
      <x:c r="F83" s="10"/>
      <x:c r="G83" s="10"/>
      <x:c r="H83" s="10"/>
      <x:c r="I83" s="10"/>
      <x:c r="J83" s="10"/>
    </x:row>
    <x:row r="84" ht="19" customHeight="1">
      <x:c r="B84" s="10"/>
      <x:c r="C84" s="10"/>
      <x:c r="D84" s="10"/>
      <x:c r="E84" s="10"/>
      <x:c r="F84" s="10"/>
      <x:c r="G84" s="10"/>
      <x:c r="H84" s="10"/>
      <x:c r="I84" s="10"/>
      <x:c r="J84" s="10"/>
    </x:row>
    <x:row r="85" ht="19" customHeight="1">
      <x:c r="B85" s="10"/>
      <x:c r="C85" s="10"/>
      <x:c r="D85" s="10"/>
      <x:c r="E85" s="10"/>
      <x:c r="F85" s="10"/>
      <x:c r="G85" s="10"/>
      <x:c r="H85" s="10"/>
      <x:c r="I85" s="10"/>
      <x:c r="J85" s="10"/>
    </x:row>
    <x:row r="86" ht="19" customHeight="1">
      <x:c r="B86" s="10"/>
      <x:c r="C86" s="10"/>
      <x:c r="D86" s="10"/>
      <x:c r="E86" s="10"/>
      <x:c r="F86" s="10"/>
      <x:c r="G86" s="10"/>
      <x:c r="H86" s="10"/>
      <x:c r="I86" s="10"/>
      <x:c r="J86" s="10"/>
    </x:row>
    <x:row r="87" ht="19" customHeight="1">
      <x:c r="B87" s="10"/>
      <x:c r="C87" s="10"/>
      <x:c r="D87" s="10"/>
      <x:c r="E87" s="10"/>
      <x:c r="F87" s="10"/>
      <x:c r="G87" s="10"/>
      <x:c r="H87" s="10"/>
      <x:c r="I87" s="10"/>
      <x:c r="J87" s="10"/>
    </x:row>
    <x:row r="88" ht="19" customHeight="1">
      <x:c r="B88" s="10"/>
      <x:c r="C88" s="10"/>
      <x:c r="D88" s="10"/>
      <x:c r="E88" s="10"/>
      <x:c r="F88" s="10"/>
      <x:c r="G88" s="10"/>
      <x:c r="H88" s="10"/>
      <x:c r="I88" s="10"/>
      <x:c r="J88" s="10"/>
    </x:row>
    <x:row r="89" ht="19" customHeight="1">
      <x:c r="B89" s="10"/>
      <x:c r="C89" s="10"/>
      <x:c r="D89" s="10"/>
      <x:c r="E89" s="10"/>
      <x:c r="F89" s="10"/>
      <x:c r="G89" s="10"/>
      <x:c r="H89" s="10"/>
      <x:c r="I89" s="10"/>
      <x:c r="J89" s="10"/>
    </x:row>
    <x:row r="90" ht="19" customHeight="1">
      <x:c r="B90" s="10"/>
      <x:c r="C90" s="10"/>
      <x:c r="D90" s="10"/>
      <x:c r="E90" s="10"/>
      <x:c r="F90" s="10"/>
      <x:c r="G90" s="10"/>
      <x:c r="H90" s="10"/>
      <x:c r="I90" s="10"/>
      <x:c r="J90" s="10"/>
    </x:row>
  </x:sheetData>
  <x:mergeCells>
    <x:mergeCell ref="A1:J2"/>
    <x:mergeCell ref="A3:J3"/>
    <x:mergeCell ref="A5:J5"/>
    <x:mergeCell ref="A23:J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7" customHeight="1">
      <x:c r="A1" s="3" t="str">
        <x:v>02 Historical / TTM</x:v>
      </x:c>
      <x:c r="B1" s="3"/>
      <x:c r="C1" s="3"/>
      <x:c r="D1" s="3"/>
      <x:c r="E1" s="3"/>
      <x:c r="F1" s="3"/>
      <x:c r="G1" s="3"/>
      <x:c r="H1" s="3"/>
      <x:c r="I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19" customHeight="1">
      <x:c r="A3" s="7" t="str">
        <x:v>Original Stage 2B historical amounts retained • FY2023 restated • TTM uses rounded 6M25 source</x:v>
      </x:c>
      <x:c r="B3" s="7"/>
      <x:c r="C3" s="7"/>
      <x:c r="D3" s="7"/>
      <x:c r="E3" s="7"/>
      <x:c r="F3" s="7"/>
      <x:c r="G3" s="7"/>
      <x:c r="H3" s="7"/>
      <x:c r="I3" s="7"/>
    </x:row>
    <x:row r="4" ht="19" customHeight="1"/>
    <x:row r="5" ht="19" customHeight="1">
      <x:c r="A5" s="20" t="str">
        <x:v>Metric</x:v>
      </x:c>
      <x:c r="B5" s="21" t="str">
        <x:v>FY2021 R</x:v>
      </x:c>
      <x:c r="C5" s="21" t="str">
        <x:v>FY2022 R</x:v>
      </x:c>
      <x:c r="D5" s="21" t="str">
        <x:v>FY2023 RS</x:v>
      </x:c>
      <x:c r="E5" s="21" t="str">
        <x:v>FY2024 R</x:v>
      </x:c>
      <x:c r="F5" s="21" t="str">
        <x:v>FY2025 R</x:v>
      </x:c>
      <x:c r="G5" s="21" t="str">
        <x:v>H1 2025 R*</x:v>
      </x:c>
      <x:c r="H5" s="21" t="str">
        <x:v>H1 2026 R</x:v>
      </x:c>
      <x:c r="I5" s="21" t="str">
        <x:v>TTM Jun26 D</x:v>
      </x:c>
    </x:row>
    <x:row r="6" ht="19" customHeight="1">
      <x:c r="A6" t="str">
        <x:v>Revenue</x:v>
      </x:c>
      <x:c r="B6" s="24" t="n">
        <x:v>4162931</x:v>
      </x:c>
      <x:c r="C6" s="24" t="n">
        <x:v>4894164</x:v>
      </x:c>
      <x:c r="D6" s="24" t="n">
        <x:v>5108399</x:v>
      </x:c>
      <x:c r="E6" s="24" t="n">
        <x:v>5164985</x:v>
      </x:c>
      <x:c r="F6" s="24" t="n">
        <x:v>5338789</x:v>
      </x:c>
      <x:c r="G6" s="24" t="n">
        <x:v>2555800</x:v>
      </x:c>
      <x:c r="H6" s="10"/>
      <x:c r="I6" s="26" t="n">
        <x:f>F6+H6-G6</x:f>
        <x:v>2782989</x:v>
      </x:c>
    </x:row>
    <x:row r="7" ht="19" customHeight="1">
      <x:c r="A7" t="str">
        <x:v>EBIT</x:v>
      </x:c>
      <x:c r="B7" s="24" t="n">
        <x:v>930840</x:v>
      </x:c>
      <x:c r="C7" s="24" t="n">
        <x:v>1173516</x:v>
      </x:c>
      <x:c r="D7" s="24" t="n">
        <x:v>1282062</x:v>
      </x:c>
      <x:c r="E7" s="24" t="n">
        <x:v>1374930</x:v>
      </x:c>
      <x:c r="F7" s="24" t="n">
        <x:v>1502192</x:v>
      </x:c>
      <x:c r="G7" s="24" t="n">
        <x:v>698000</x:v>
      </x:c>
      <x:c r="H7" s="10"/>
      <x:c r="I7" s="26" t="n">
        <x:f>F7+H7-G7</x:f>
        <x:v>804192</x:v>
      </x:c>
    </x:row>
    <x:row r="8" ht="19" customHeight="1">
      <x:c r="A8" t="str">
        <x:v>Consolidated NI</x:v>
      </x:c>
      <x:c r="B8" s="24" t="n">
        <x:v>728263</x:v>
      </x:c>
      <x:c r="C8" s="24" t="n">
        <x:v>935944</x:v>
      </x:c>
      <x:c r="D8" s="24" t="n">
        <x:v>1038295</x:v>
      </x:c>
      <x:c r="E8" s="24" t="n">
        <x:v>1117900</x:v>
      </x:c>
      <x:c r="F8" s="24" t="n">
        <x:v>1220328</x:v>
      </x:c>
      <x:c r="G8" s="24" t="n">
        <x:v>573800</x:v>
      </x:c>
      <x:c r="H8" s="10"/>
      <x:c r="I8" s="26" t="n">
        <x:f>F8+H8-G8</x:f>
        <x:v>646528</x:v>
      </x:c>
    </x:row>
    <x:row r="9" ht="19" customHeight="1">
      <x:c r="A9" t="str">
        <x:v>Parent NI</x:v>
      </x:c>
      <x:c r="B9" s="24" t="n">
        <x:v>662041</x:v>
      </x:c>
      <x:c r="C9" s="24" t="n">
        <x:v>848315</x:v>
      </x:c>
      <x:c r="D9" s="24" t="n">
        <x:v>945950</x:v>
      </x:c>
      <x:c r="E9" s="24" t="n">
        <x:v>1024180</x:v>
      </x:c>
      <x:c r="F9" s="24" t="n">
        <x:v>1124703</x:v>
      </x:c>
      <x:c r="G9" s="24" t="n">
        <x:v>530800</x:v>
      </x:c>
      <x:c r="H9" s="10"/>
      <x:c r="I9" s="26" t="n">
        <x:f>F9+H9-G9</x:f>
        <x:v>593903</x:v>
      </x:c>
    </x:row>
    <x:row r="10" ht="19" customHeight="1">
      <x:c r="A10" t="str">
        <x:v>Income tax expense</x:v>
      </x:c>
      <x:c r="B10" s="24" t="n">
        <x:v>193905</x:v>
      </x:c>
      <x:c r="C10" s="24" t="n">
        <x:v>236058</x:v>
      </x:c>
      <x:c r="D10" s="24" t="n">
        <x:v>263432</x:v>
      </x:c>
      <x:c r="E10" s="24" t="n">
        <x:v>283977</x:v>
      </x:c>
      <x:c r="F10" s="24" t="n">
        <x:v>312049</x:v>
      </x:c>
      <x:c r="G10" s="24" t="n">
        <x:v>146856</x:v>
      </x:c>
      <x:c r="H10" s="10"/>
      <x:c r="I10" s="10"/>
    </x:row>
    <x:row r="11" ht="19" customHeight="1">
      <x:c r="A11" t="str">
        <x:v>CFO</x:v>
      </x:c>
      <x:c r="B11" s="24" t="n">
        <x:v>493121</x:v>
      </x:c>
      <x:c r="C11" s="24" t="n">
        <x:v>1063865</x:v>
      </x:c>
      <x:c r="D11" s="24" t="n">
        <x:v>1116893</x:v>
      </x:c>
      <x:c r="E11" s="24" t="n">
        <x:v>1147857</x:v>
      </x:c>
      <x:c r="F11" s="24" t="n">
        <x:v>1123930</x:v>
      </x:c>
      <x:c r="G11" s="24" t="n">
        <x:v>354494</x:v>
      </x:c>
      <x:c r="H11" s="10"/>
      <x:c r="I11" s="10"/>
    </x:row>
    <x:row r="12" ht="19" customHeight="1">
      <x:c r="A12" t="str">
        <x:v>Owned PPE depreciation</x:v>
      </x:c>
      <x:c r="B12" s="24" t="n">
        <x:v>112561</x:v>
      </x:c>
      <x:c r="C12" s="24" t="n">
        <x:v>117609</x:v>
      </x:c>
      <x:c r="D12" s="24" t="n">
        <x:v>129160</x:v>
      </x:c>
      <x:c r="E12" s="24" t="n">
        <x:v>135806</x:v>
      </x:c>
      <x:c r="F12" s="24" t="n">
        <x:v>152464</x:v>
      </x:c>
      <x:c r="G12" s="24" t="n">
        <x:v>81071</x:v>
      </x:c>
      <x:c r="H12" s="10"/>
      <x:c r="I12" s="10"/>
    </x:row>
    <x:row r="13" ht="19" customHeight="1">
      <x:c r="A13" t="str">
        <x:v>ROU depreciation</x:v>
      </x:c>
      <x:c r="B13" s="24" t="n">
        <x:v>26493</x:v>
      </x:c>
      <x:c r="C13" s="24" t="n">
        <x:v>24921</x:v>
      </x:c>
      <x:c r="D13" s="24" t="n">
        <x:v>29472</x:v>
      </x:c>
      <x:c r="E13" s="24" t="n">
        <x:v>30092</x:v>
      </x:c>
      <x:c r="F13" s="24" t="n">
        <x:v>29798</x:v>
      </x:c>
      <x:c r="G13" s="24" t="n">
        <x:v>16895</x:v>
      </x:c>
      <x:c r="H13" s="10"/>
      <x:c r="I13" s="10"/>
    </x:row>
    <x:row r="14" ht="19" customHeight="1">
      <x:c r="A14" t="str">
        <x:v>Intangible amortization</x:v>
      </x:c>
      <x:c r="B14" s="24" t="n">
        <x:v>3714</x:v>
      </x:c>
      <x:c r="C14" s="24" t="n">
        <x:v>4073</x:v>
      </x:c>
      <x:c r="D14" s="24" t="n">
        <x:v>5699</x:v>
      </x:c>
      <x:c r="E14" s="24" t="n">
        <x:v>7036</x:v>
      </x:c>
      <x:c r="F14" s="24" t="n">
        <x:v>2032</x:v>
      </x:c>
      <x:c r="G14" s="24" t="n">
        <x:v>950</x:v>
      </x:c>
      <x:c r="H14" s="10"/>
      <x:c r="I14" s="10"/>
    </x:row>
    <x:row r="15" ht="19" customHeight="1">
      <x:c r="A15" t="str">
        <x:v>PPE cash purchases</x:v>
      </x:c>
      <x:c r="B15" s="24" t="n">
        <x:v>135696</x:v>
      </x:c>
      <x:c r="C15" s="24" t="n">
        <x:v>203895</x:v>
      </x:c>
      <x:c r="D15" s="24" t="n">
        <x:v>87553</x:v>
      </x:c>
      <x:c r="E15" s="24" t="n">
        <x:v>126002</x:v>
      </x:c>
      <x:c r="F15" s="24" t="n">
        <x:v>136026</x:v>
      </x:c>
      <x:c r="G15" s="24" t="n">
        <x:v>60192</x:v>
      </x:c>
      <x:c r="H15" s="10"/>
      <x:c r="I15" s="10"/>
    </x:row>
    <x:row r="16" ht="19" customHeight="1">
      <x:c r="A16" t="str">
        <x:v>Capital cash advances</x:v>
      </x:c>
      <x:c r="B16" s="24" t="n">
        <x:v>28830</x:v>
      </x:c>
      <x:c r="C16" s="24" t="n">
        <x:v>61797</x:v>
      </x:c>
      <x:c r="D16" s="24" t="n">
        <x:v>88107</x:v>
      </x:c>
      <x:c r="E16" s="24" t="n">
        <x:v>84219</x:v>
      </x:c>
      <x:c r="F16" s="24" t="n">
        <x:v>69015</x:v>
      </x:c>
      <x:c r="G16" s="24" t="n">
        <x:v>36996</x:v>
      </x:c>
      <x:c r="H16" s="10"/>
      <x:c r="I16" s="10"/>
    </x:row>
    <x:row r="17" ht="19" customHeight="1">
      <x:c r="A17" t="str">
        <x:v>Intangible purchases</x:v>
      </x:c>
      <x:c r="B17" s="24" t="n">
        <x:v>5295</x:v>
      </x:c>
      <x:c r="C17" s="24" t="n">
        <x:v>4601</x:v>
      </x:c>
      <x:c r="D17" s="24" t="n">
        <x:v>5325</x:v>
      </x:c>
      <x:c r="E17" s="24" t="n">
        <x:v>184</x:v>
      </x:c>
      <x:c r="F17" s="10"/>
      <x:c r="G17" s="10"/>
      <x:c r="H17" s="10"/>
      <x:c r="I17" s="10"/>
    </x:row>
    <x:row r="18" ht="19" customHeight="1">
      <x:c r="B18" s="10"/>
      <x:c r="C18" s="10"/>
      <x:c r="D18" s="10"/>
      <x:c r="E18" s="10"/>
      <x:c r="F18" s="10"/>
      <x:c r="G18" s="10"/>
      <x:c r="H18" s="10"/>
      <x:c r="I18" s="10"/>
    </x:row>
    <x:row r="19" ht="19" customHeight="1">
      <x:c r="A19" s="14" t="str">
        <x:v>DERIVED HISTORICAL METRICS</x:v>
      </x:c>
      <x:c r="B19" s="15"/>
      <x:c r="C19" s="15"/>
      <x:c r="D19" s="15"/>
      <x:c r="E19" s="15"/>
      <x:c r="F19" s="15"/>
      <x:c r="G19" s="15"/>
      <x:c r="H19" s="15"/>
      <x:c r="I19" s="15"/>
    </x:row>
    <x:row r="20" ht="19" customHeight="1">
      <x:c r="A20" t="str">
        <x:v>EBITDA (reported H1 2025 rounded)</x:v>
      </x:c>
      <x:c r="B20" s="26" t="n">
        <x:f>SUM(B7,B10:B12)</x:f>
        <x:v>1730427</x:v>
      </x:c>
      <x:c r="C20" s="26" t="n">
        <x:f>SUM(C7,C10:C12)</x:f>
        <x:v>2591048</x:v>
      </x:c>
      <x:c r="D20" s="26" t="n">
        <x:f>SUM(D7,D10:D12)</x:f>
        <x:v>2791547</x:v>
      </x:c>
      <x:c r="E20" s="26" t="n">
        <x:f>SUM(E7,E10:E12)</x:f>
        <x:v>2942570</x:v>
      </x:c>
      <x:c r="F20" s="26" t="n">
        <x:f>SUM(F7,F10:F12)</x:f>
        <x:v>3090635</x:v>
      </x:c>
      <x:c r="G20" s="24" t="n">
        <x:v>772700</x:v>
      </x:c>
      <x:c r="H20" s="26" t="n">
        <x:f>SUM(H7,H10:H12)</x:f>
        <x:v>0</x:v>
      </x:c>
      <x:c r="I20" s="26" t="n">
        <x:f>F20+H20-G20</x:f>
        <x:v>2317935</x:v>
      </x:c>
    </x:row>
    <x:row r="21" ht="19" customHeight="1">
      <x:c r="A21" t="str">
        <x:v>EBIT margin</x:v>
      </x:c>
      <x:c r="B21" s="28" t="n">
        <x:f>IFERROR(B7/B6,0)</x:f>
        <x:v>0.22360207267427684</x:v>
      </x:c>
      <x:c r="C21" s="28" t="n">
        <x:f>IFERROR(C7/C6,0)</x:f>
        <x:v>0.2397786424811265</x:v>
      </x:c>
      <x:c r="D21" s="28" t="n">
        <x:f>IFERROR(D7/D6,0)</x:f>
        <x:v>0.2509713904493365</x:v>
      </x:c>
      <x:c r="E21" s="28" t="n">
        <x:f>IFERROR(E7/E6,0)</x:f>
        <x:v>0.26620212837016954</x:v>
      </x:c>
      <x:c r="F21" s="28" t="n">
        <x:f>IFERROR(F7/F6,0)</x:f>
        <x:v>0.28137317283001817</x:v>
      </x:c>
      <x:c r="G21" s="28" t="n">
        <x:f>IFERROR(G7/G6,0)</x:f>
        <x:v>0.2731043117614837</x:v>
      </x:c>
      <x:c r="H21" s="28" t="n">
        <x:f>IFERROR(H7/H6,0)</x:f>
        <x:v>0</x:v>
      </x:c>
      <x:c r="I21" s="28" t="n">
        <x:f>IFERROR(I7/I6,0)</x:f>
        <x:v>0.2889670063374307</x:v>
      </x:c>
    </x:row>
    <x:row r="22" ht="19" customHeight="1">
      <x:c r="A22" t="str">
        <x:v>EBITDA margin</x:v>
      </x:c>
      <x:c r="B22" s="28" t="n">
        <x:f>IFERROR(B20/B6,0)</x:f>
        <x:v>0.4156751577194049</x:v>
      </x:c>
      <x:c r="C22" s="28" t="n">
        <x:f>IFERROR(C20/C6,0)</x:f>
        <x:v>0.52941585120564</x:v>
      </x:c>
      <x:c r="D22" s="28" t="n">
        <x:f>IFERROR(D20/D6,0)</x:f>
        <x:v>0.5464622086097817</x:v>
      </x:c>
      <x:c r="E22" s="28" t="n">
        <x:f>IFERROR(E20/E6,0)</x:f>
        <x:v>0.5697151104988688</x:v>
      </x:c>
      <x:c r="F22" s="28" t="n">
        <x:f>IFERROR(F20/F6,0)</x:f>
        <x:v>0.5789018820560243</x:v>
      </x:c>
      <x:c r="G22" s="28" t="n">
        <x:f>IFERROR(G20/G6,0)</x:f>
        <x:v>0.3023319508568746</x:v>
      </x:c>
      <x:c r="H22" s="28" t="n">
        <x:f>IFERROR(H20/H6,0)</x:f>
        <x:v>0</x:v>
      </x:c>
      <x:c r="I22" s="28" t="n">
        <x:f>IFERROR(I20/I6,0)</x:f>
        <x:v>0.8328940574324943</x:v>
      </x:c>
    </x:row>
    <x:row r="23" ht="19" customHeight="1">
      <x:c r="A23" t="str">
        <x:v>FCFF-ready derived NWC (FY2023 onward)</x:v>
      </x:c>
      <x:c r="B23" s="10"/>
      <x:c r="C23" s="10"/>
      <x:c r="D23" s="24" t="n">
        <x:v>1728073</x:v>
      </x:c>
      <x:c r="E23" s="24" t="n">
        <x:v>1830537</x:v>
      </x:c>
      <x:c r="F23" s="24" t="n">
        <x:v>2039544</x:v>
      </x:c>
      <x:c r="G23" s="10"/>
      <x:c r="H23" s="24" t="n">
        <x:v>2348452</x:v>
      </x:c>
      <x:c r="I23" s="10"/>
    </x:row>
    <x:row r="24" ht="19" customHeight="1">
      <x:c r="A24" t="str">
        <x:v>ΔNWC (FY2023 onward)</x:v>
      </x:c>
      <x:c r="B24" s="10"/>
      <x:c r="C24" s="10"/>
      <x:c r="D24" s="24" t="n">
        <x:v>102464</x:v>
      </x:c>
      <x:c r="E24" s="24" t="n">
        <x:v>209007</x:v>
      </x:c>
      <x:c r="F24" s="24" t="n">
        <x:v>308908</x:v>
      </x:c>
      <x:c r="G24" s="10"/>
      <x:c r="H24" s="10"/>
      <x:c r="I24" s="10"/>
    </x:row>
    <x:row r="25" ht="19" customHeight="1">
      <x:c r="A25" t="str">
        <x:v>Gross PPE additions (FY2024 onward)</x:v>
      </x:c>
      <x:c r="B25" s="10"/>
      <x:c r="C25" s="10"/>
      <x:c r="D25" s="10"/>
      <x:c r="E25" s="24" t="n">
        <x:v>191439</x:v>
      </x:c>
      <x:c r="F25" s="24" t="n">
        <x:v>241778</x:v>
      </x:c>
      <x:c r="G25" s="10"/>
      <x:c r="H25" s="24" t="n">
        <x:v>110297</x:v>
      </x:c>
      <x:c r="I25" s="10"/>
    </x:row>
    <x:row r="26" ht="19" customHeight="1">
      <x:c r="A26" t="str">
        <x:v>Validated H1 2025 NWC ending balance: unavailable</x:v>
      </x:c>
      <x:c r="B26" s="10"/>
      <x:c r="C26" s="10"/>
      <x:c r="D26" s="10"/>
      <x:c r="E26" s="10"/>
      <x:c r="F26" s="10"/>
      <x:c r="G26" s="10"/>
      <x:c r="H26" s="10"/>
      <x:c r="I26" s="10"/>
    </x:row>
    <x:row r="27" ht="19" customHeight="1">
      <x:c r="A27" t="str">
        <x:v>Evidence: 6M25 revenue/EBIT are rounded to nearest Rp billion in company presentation.</x:v>
      </x:c>
      <x:c r="B27" s="10"/>
      <x:c r="C27" s="10"/>
      <x:c r="D27" s="10"/>
      <x:c r="E27" s="10"/>
      <x:c r="F27" s="10"/>
      <x:c r="G27" s="10"/>
      <x:c r="H27" s="10"/>
      <x:c r="I27" s="10"/>
    </x:row>
    <x:row r="28" ht="19" customHeight="1">
      <x:c r="B28" s="10"/>
      <x:c r="C28" s="10"/>
      <x:c r="D28" s="10"/>
      <x:c r="E28" s="10"/>
      <x:c r="F28" s="10"/>
      <x:c r="G28" s="10"/>
      <x:c r="H28" s="10"/>
      <x:c r="I28" s="10"/>
    </x:row>
    <x:row r="29" ht="19" customHeight="1">
      <x:c r="B29" s="10"/>
      <x:c r="C29" s="10"/>
      <x:c r="D29" s="10"/>
      <x:c r="E29" s="10"/>
      <x:c r="F29" s="10"/>
      <x:c r="G29" s="10"/>
      <x:c r="H29" s="10"/>
      <x:c r="I29" s="10"/>
    </x:row>
    <x:row r="30" ht="19" customHeight="1">
      <x:c r="B30" s="10"/>
      <x:c r="C30" s="10"/>
      <x:c r="D30" s="10"/>
      <x:c r="E30" s="10"/>
      <x:c r="F30" s="10"/>
      <x:c r="G30" s="10"/>
      <x:c r="H30" s="10"/>
      <x:c r="I30" s="10"/>
    </x:row>
    <x:row r="31" ht="19" customHeight="1">
      <x:c r="B31" s="10"/>
      <x:c r="C31" s="10"/>
      <x:c r="D31" s="10"/>
      <x:c r="E31" s="10"/>
      <x:c r="F31" s="10"/>
      <x:c r="G31" s="10"/>
      <x:c r="H31" s="10"/>
      <x:c r="I31" s="10"/>
    </x:row>
    <x:row r="32" ht="19" customHeight="1">
      <x:c r="B32" s="10"/>
      <x:c r="C32" s="10"/>
      <x:c r="D32" s="10"/>
      <x:c r="E32" s="10"/>
      <x:c r="F32" s="10"/>
      <x:c r="G32" s="10"/>
      <x:c r="H32" s="10"/>
      <x:c r="I32" s="10"/>
    </x:row>
    <x:row r="33" ht="19" customHeight="1">
      <x:c r="B33" s="10"/>
      <x:c r="C33" s="10"/>
      <x:c r="D33" s="10"/>
      <x:c r="E33" s="10"/>
      <x:c r="F33" s="10"/>
      <x:c r="G33" s="10"/>
      <x:c r="H33" s="10"/>
      <x:c r="I33" s="10"/>
    </x:row>
    <x:row r="34" ht="19" customHeight="1">
      <x:c r="B34" s="10"/>
      <x:c r="C34" s="10"/>
      <x:c r="D34" s="10"/>
      <x:c r="E34" s="10"/>
      <x:c r="F34" s="10"/>
      <x:c r="G34" s="10"/>
      <x:c r="H34" s="10"/>
      <x:c r="I34" s="10"/>
    </x:row>
    <x:row r="35" ht="19" customHeight="1">
      <x:c r="B35" s="10"/>
      <x:c r="C35" s="10"/>
      <x:c r="D35" s="10"/>
      <x:c r="E35" s="10"/>
      <x:c r="F35" s="10"/>
      <x:c r="G35" s="10"/>
      <x:c r="H35" s="10"/>
      <x:c r="I35" s="10"/>
    </x:row>
    <x:row r="36" ht="19" customHeight="1">
      <x:c r="B36" s="10"/>
      <x:c r="C36" s="10"/>
      <x:c r="D36" s="10"/>
      <x:c r="E36" s="10"/>
      <x:c r="F36" s="10"/>
      <x:c r="G36" s="10"/>
      <x:c r="H36" s="10"/>
      <x:c r="I36" s="10"/>
    </x:row>
    <x:row r="37" ht="19" customHeight="1">
      <x:c r="B37" s="10"/>
      <x:c r="C37" s="10"/>
      <x:c r="D37" s="10"/>
      <x:c r="E37" s="10"/>
      <x:c r="F37" s="10"/>
      <x:c r="G37" s="10"/>
      <x:c r="H37" s="10"/>
      <x:c r="I37" s="10"/>
    </x:row>
    <x:row r="38" ht="19" customHeight="1">
      <x:c r="B38" s="10"/>
      <x:c r="C38" s="10"/>
      <x:c r="D38" s="10"/>
      <x:c r="E38" s="10"/>
      <x:c r="F38" s="10"/>
      <x:c r="G38" s="10"/>
      <x:c r="H38" s="10"/>
      <x:c r="I38" s="10"/>
    </x:row>
    <x:row r="39" ht="19" customHeight="1">
      <x:c r="B39" s="10"/>
      <x:c r="C39" s="10"/>
      <x:c r="D39" s="10"/>
      <x:c r="E39" s="10"/>
      <x:c r="F39" s="10"/>
      <x:c r="G39" s="10"/>
      <x:c r="H39" s="10"/>
      <x:c r="I39" s="10"/>
    </x:row>
    <x:row r="40" ht="19" customHeight="1">
      <x:c r="B40" s="10"/>
      <x:c r="C40" s="10"/>
      <x:c r="D40" s="10"/>
      <x:c r="E40" s="10"/>
      <x:c r="F40" s="10"/>
      <x:c r="G40" s="10"/>
      <x:c r="H40" s="10"/>
      <x:c r="I40" s="10"/>
    </x:row>
    <x:row r="41" ht="19" customHeight="1">
      <x:c r="B41" s="10"/>
      <x:c r="C41" s="10"/>
      <x:c r="D41" s="10"/>
      <x:c r="E41" s="10"/>
      <x:c r="F41" s="10"/>
      <x:c r="G41" s="10"/>
      <x:c r="H41" s="10"/>
      <x:c r="I41" s="10"/>
    </x:row>
    <x:row r="42" ht="19" customHeight="1">
      <x:c r="B42" s="10"/>
      <x:c r="C42" s="10"/>
      <x:c r="D42" s="10"/>
      <x:c r="E42" s="10"/>
      <x:c r="F42" s="10"/>
      <x:c r="G42" s="10"/>
      <x:c r="H42" s="10"/>
      <x:c r="I42" s="10"/>
    </x:row>
    <x:row r="43" ht="19" customHeight="1">
      <x:c r="B43" s="10"/>
      <x:c r="C43" s="10"/>
      <x:c r="D43" s="10"/>
      <x:c r="E43" s="10"/>
      <x:c r="F43" s="10"/>
      <x:c r="G43" s="10"/>
      <x:c r="H43" s="10"/>
      <x:c r="I43" s="10"/>
    </x:row>
    <x:row r="44" ht="19" customHeight="1">
      <x:c r="B44" s="10"/>
      <x:c r="C44" s="10"/>
      <x:c r="D44" s="10"/>
      <x:c r="E44" s="10"/>
      <x:c r="F44" s="10"/>
      <x:c r="G44" s="10"/>
      <x:c r="H44" s="10"/>
      <x:c r="I44" s="10"/>
    </x:row>
    <x:row r="45" ht="19" customHeight="1">
      <x:c r="B45" s="10"/>
      <x:c r="C45" s="10"/>
      <x:c r="D45" s="10"/>
      <x:c r="E45" s="10"/>
      <x:c r="F45" s="10"/>
      <x:c r="G45" s="10"/>
      <x:c r="H45" s="10"/>
      <x:c r="I45" s="10"/>
    </x:row>
    <x:row r="46" ht="19" customHeight="1">
      <x:c r="B46" s="10"/>
      <x:c r="C46" s="10"/>
      <x:c r="D46" s="10"/>
      <x:c r="E46" s="10"/>
      <x:c r="F46" s="10"/>
      <x:c r="G46" s="10"/>
      <x:c r="H46" s="10"/>
      <x:c r="I46" s="10"/>
    </x:row>
    <x:row r="47" ht="19" customHeight="1">
      <x:c r="B47" s="10"/>
      <x:c r="C47" s="10"/>
      <x:c r="D47" s="10"/>
      <x:c r="E47" s="10"/>
      <x:c r="F47" s="10"/>
      <x:c r="G47" s="10"/>
      <x:c r="H47" s="10"/>
      <x:c r="I47" s="10"/>
    </x:row>
    <x:row r="48" ht="19" customHeight="1">
      <x:c r="B48" s="10"/>
      <x:c r="C48" s="10"/>
      <x:c r="D48" s="10"/>
      <x:c r="E48" s="10"/>
      <x:c r="F48" s="10"/>
      <x:c r="G48" s="10"/>
      <x:c r="H48" s="10"/>
      <x:c r="I48" s="10"/>
    </x:row>
    <x:row r="49" ht="19" customHeight="1">
      <x:c r="B49" s="10"/>
      <x:c r="C49" s="10"/>
      <x:c r="D49" s="10"/>
      <x:c r="E49" s="10"/>
      <x:c r="F49" s="10"/>
      <x:c r="G49" s="10"/>
      <x:c r="H49" s="10"/>
      <x:c r="I49" s="10"/>
    </x:row>
    <x:row r="50" ht="19" customHeight="1">
      <x:c r="B50" s="10"/>
      <x:c r="C50" s="10"/>
      <x:c r="D50" s="10"/>
      <x:c r="E50" s="10"/>
      <x:c r="F50" s="10"/>
      <x:c r="G50" s="10"/>
      <x:c r="H50" s="10"/>
      <x:c r="I50" s="10"/>
    </x:row>
    <x:row r="51" ht="19" customHeight="1">
      <x:c r="B51" s="10"/>
      <x:c r="C51" s="10"/>
      <x:c r="D51" s="10"/>
      <x:c r="E51" s="10"/>
      <x:c r="F51" s="10"/>
      <x:c r="G51" s="10"/>
      <x:c r="H51" s="10"/>
      <x:c r="I51" s="10"/>
    </x:row>
    <x:row r="52" ht="19" customHeight="1">
      <x:c r="B52" s="10"/>
      <x:c r="C52" s="10"/>
      <x:c r="D52" s="10"/>
      <x:c r="E52" s="10"/>
      <x:c r="F52" s="10"/>
      <x:c r="G52" s="10"/>
      <x:c r="H52" s="10"/>
      <x:c r="I52" s="10"/>
    </x:row>
    <x:row r="53" ht="19" customHeight="1">
      <x:c r="B53" s="10"/>
      <x:c r="C53" s="10"/>
      <x:c r="D53" s="10"/>
      <x:c r="E53" s="10"/>
      <x:c r="F53" s="10"/>
      <x:c r="G53" s="10"/>
      <x:c r="H53" s="10"/>
      <x:c r="I53" s="10"/>
    </x:row>
    <x:row r="54" ht="19" customHeight="1">
      <x:c r="B54" s="10"/>
      <x:c r="C54" s="10"/>
      <x:c r="D54" s="10"/>
      <x:c r="E54" s="10"/>
      <x:c r="F54" s="10"/>
      <x:c r="G54" s="10"/>
      <x:c r="H54" s="10"/>
      <x:c r="I54" s="10"/>
    </x:row>
    <x:row r="55" ht="19" customHeight="1">
      <x:c r="B55" s="10"/>
      <x:c r="C55" s="10"/>
      <x:c r="D55" s="10"/>
      <x:c r="E55" s="10"/>
      <x:c r="F55" s="10"/>
      <x:c r="G55" s="10"/>
      <x:c r="H55" s="10"/>
      <x:c r="I55" s="10"/>
    </x:row>
    <x:row r="56" ht="19" customHeight="1">
      <x:c r="B56" s="10"/>
      <x:c r="C56" s="10"/>
      <x:c r="D56" s="10"/>
      <x:c r="E56" s="10"/>
      <x:c r="F56" s="10"/>
      <x:c r="G56" s="10"/>
      <x:c r="H56" s="10"/>
      <x:c r="I56" s="10"/>
    </x:row>
    <x:row r="57" ht="19" customHeight="1">
      <x:c r="B57" s="10"/>
      <x:c r="C57" s="10"/>
      <x:c r="D57" s="10"/>
      <x:c r="E57" s="10"/>
      <x:c r="F57" s="10"/>
      <x:c r="G57" s="10"/>
      <x:c r="H57" s="10"/>
      <x:c r="I57" s="10"/>
    </x:row>
    <x:row r="58" ht="19" customHeight="1">
      <x:c r="B58" s="10"/>
      <x:c r="C58" s="10"/>
      <x:c r="D58" s="10"/>
      <x:c r="E58" s="10"/>
      <x:c r="F58" s="10"/>
      <x:c r="G58" s="10"/>
      <x:c r="H58" s="10"/>
      <x:c r="I58" s="10"/>
    </x:row>
    <x:row r="59" ht="19" customHeight="1">
      <x:c r="B59" s="10"/>
      <x:c r="C59" s="10"/>
      <x:c r="D59" s="10"/>
      <x:c r="E59" s="10"/>
      <x:c r="F59" s="10"/>
      <x:c r="G59" s="10"/>
      <x:c r="H59" s="10"/>
      <x:c r="I59" s="10"/>
    </x:row>
    <x:row r="60" ht="19" customHeight="1">
      <x:c r="B60" s="10"/>
      <x:c r="C60" s="10"/>
      <x:c r="D60" s="10"/>
      <x:c r="E60" s="10"/>
      <x:c r="F60" s="10"/>
      <x:c r="G60" s="10"/>
      <x:c r="H60" s="10"/>
      <x:c r="I60" s="10"/>
    </x:row>
    <x:row r="61" ht="19" customHeight="1">
      <x:c r="B61" s="10"/>
      <x:c r="C61" s="10"/>
      <x:c r="D61" s="10"/>
      <x:c r="E61" s="10"/>
      <x:c r="F61" s="10"/>
      <x:c r="G61" s="10"/>
      <x:c r="H61" s="10"/>
      <x:c r="I61" s="10"/>
    </x:row>
    <x:row r="62" ht="19" customHeight="1">
      <x:c r="B62" s="10"/>
      <x:c r="C62" s="10"/>
      <x:c r="D62" s="10"/>
      <x:c r="E62" s="10"/>
      <x:c r="F62" s="10"/>
      <x:c r="G62" s="10"/>
      <x:c r="H62" s="10"/>
      <x:c r="I62" s="10"/>
    </x:row>
    <x:row r="63" ht="19" customHeight="1">
      <x:c r="B63" s="10"/>
      <x:c r="C63" s="10"/>
      <x:c r="D63" s="10"/>
      <x:c r="E63" s="10"/>
      <x:c r="F63" s="10"/>
      <x:c r="G63" s="10"/>
      <x:c r="H63" s="10"/>
      <x:c r="I63" s="10"/>
    </x:row>
    <x:row r="64" ht="19" customHeight="1">
      <x:c r="B64" s="10"/>
      <x:c r="C64" s="10"/>
      <x:c r="D64" s="10"/>
      <x:c r="E64" s="10"/>
      <x:c r="F64" s="10"/>
      <x:c r="G64" s="10"/>
      <x:c r="H64" s="10"/>
      <x:c r="I64" s="10"/>
    </x:row>
    <x:row r="65" ht="19" customHeight="1">
      <x:c r="B65" s="10"/>
      <x:c r="C65" s="10"/>
      <x:c r="D65" s="10"/>
      <x:c r="E65" s="10"/>
      <x:c r="F65" s="10"/>
      <x:c r="G65" s="10"/>
      <x:c r="H65" s="10"/>
      <x:c r="I65" s="10"/>
    </x:row>
    <x:row r="66" ht="19" customHeight="1">
      <x:c r="B66" s="10"/>
      <x:c r="C66" s="10"/>
      <x:c r="D66" s="10"/>
      <x:c r="E66" s="10"/>
      <x:c r="F66" s="10"/>
      <x:c r="G66" s="10"/>
      <x:c r="H66" s="10"/>
      <x:c r="I66" s="10"/>
    </x:row>
    <x:row r="67" ht="19" customHeight="1">
      <x:c r="B67" s="10"/>
      <x:c r="C67" s="10"/>
      <x:c r="D67" s="10"/>
      <x:c r="E67" s="10"/>
      <x:c r="F67" s="10"/>
      <x:c r="G67" s="10"/>
      <x:c r="H67" s="10"/>
      <x:c r="I67" s="10"/>
    </x:row>
    <x:row r="68" ht="19" customHeight="1">
      <x:c r="B68" s="10"/>
      <x:c r="C68" s="10"/>
      <x:c r="D68" s="10"/>
      <x:c r="E68" s="10"/>
      <x:c r="F68" s="10"/>
      <x:c r="G68" s="10"/>
      <x:c r="H68" s="10"/>
      <x:c r="I68" s="10"/>
    </x:row>
    <x:row r="69" ht="19" customHeight="1">
      <x:c r="B69" s="10"/>
      <x:c r="C69" s="10"/>
      <x:c r="D69" s="10"/>
      <x:c r="E69" s="10"/>
      <x:c r="F69" s="10"/>
      <x:c r="G69" s="10"/>
      <x:c r="H69" s="10"/>
      <x:c r="I69" s="10"/>
    </x:row>
    <x:row r="70" ht="19" customHeight="1">
      <x:c r="B70" s="10"/>
      <x:c r="C70" s="10"/>
      <x:c r="D70" s="10"/>
      <x:c r="E70" s="10"/>
      <x:c r="F70" s="10"/>
      <x:c r="G70" s="10"/>
      <x:c r="H70" s="10"/>
      <x:c r="I70" s="10"/>
    </x:row>
    <x:row r="71" ht="19" customHeight="1">
      <x:c r="B71" s="10"/>
      <x:c r="C71" s="10"/>
      <x:c r="D71" s="10"/>
      <x:c r="E71" s="10"/>
      <x:c r="F71" s="10"/>
      <x:c r="G71" s="10"/>
      <x:c r="H71" s="10"/>
      <x:c r="I71" s="10"/>
    </x:row>
    <x:row r="72" ht="19" customHeight="1">
      <x:c r="B72" s="10"/>
      <x:c r="C72" s="10"/>
      <x:c r="D72" s="10"/>
      <x:c r="E72" s="10"/>
      <x:c r="F72" s="10"/>
      <x:c r="G72" s="10"/>
      <x:c r="H72" s="10"/>
      <x:c r="I72" s="10"/>
    </x:row>
    <x:row r="73" ht="19" customHeight="1">
      <x:c r="B73" s="10"/>
      <x:c r="C73" s="10"/>
      <x:c r="D73" s="10"/>
      <x:c r="E73" s="10"/>
      <x:c r="F73" s="10"/>
      <x:c r="G73" s="10"/>
      <x:c r="H73" s="10"/>
      <x:c r="I73" s="10"/>
    </x:row>
    <x:row r="74" ht="19" customHeight="1">
      <x:c r="B74" s="10"/>
      <x:c r="C74" s="10"/>
      <x:c r="D74" s="10"/>
      <x:c r="E74" s="10"/>
      <x:c r="F74" s="10"/>
      <x:c r="G74" s="10"/>
      <x:c r="H74" s="10"/>
      <x:c r="I74" s="10"/>
    </x:row>
    <x:row r="75" ht="19" customHeight="1">
      <x:c r="B75" s="10"/>
      <x:c r="C75" s="10"/>
      <x:c r="D75" s="10"/>
      <x:c r="E75" s="10"/>
      <x:c r="F75" s="10"/>
      <x:c r="G75" s="10"/>
      <x:c r="H75" s="10"/>
      <x:c r="I75" s="10"/>
    </x:row>
    <x:row r="76" ht="19" customHeight="1">
      <x:c r="B76" s="10"/>
      <x:c r="C76" s="10"/>
      <x:c r="D76" s="10"/>
      <x:c r="E76" s="10"/>
      <x:c r="F76" s="10"/>
      <x:c r="G76" s="10"/>
      <x:c r="H76" s="10"/>
      <x:c r="I76" s="10"/>
    </x:row>
    <x:row r="77" ht="19" customHeight="1">
      <x:c r="B77" s="10"/>
      <x:c r="C77" s="10"/>
      <x:c r="D77" s="10"/>
      <x:c r="E77" s="10"/>
      <x:c r="F77" s="10"/>
      <x:c r="G77" s="10"/>
      <x:c r="H77" s="10"/>
      <x:c r="I77" s="10"/>
    </x:row>
    <x:row r="78" ht="19" customHeight="1">
      <x:c r="B78" s="10"/>
      <x:c r="C78" s="10"/>
      <x:c r="D78" s="10"/>
      <x:c r="E78" s="10"/>
      <x:c r="F78" s="10"/>
      <x:c r="G78" s="10"/>
      <x:c r="H78" s="10"/>
      <x:c r="I78" s="10"/>
    </x:row>
    <x:row r="79" ht="19" customHeight="1">
      <x:c r="B79" s="10"/>
      <x:c r="C79" s="10"/>
      <x:c r="D79" s="10"/>
      <x:c r="E79" s="10"/>
      <x:c r="F79" s="10"/>
      <x:c r="G79" s="10"/>
      <x:c r="H79" s="10"/>
      <x:c r="I79" s="10"/>
    </x:row>
    <x:row r="80" ht="19" customHeight="1">
      <x:c r="B80" s="10"/>
      <x:c r="C80" s="10"/>
      <x:c r="D80" s="10"/>
      <x:c r="E80" s="10"/>
      <x:c r="F80" s="10"/>
      <x:c r="G80" s="10"/>
      <x:c r="H80" s="10"/>
      <x:c r="I80" s="10"/>
    </x:row>
    <x:row r="81" ht="19" customHeight="1">
      <x:c r="B81" s="10"/>
      <x:c r="C81" s="10"/>
      <x:c r="D81" s="10"/>
      <x:c r="E81" s="10"/>
      <x:c r="F81" s="10"/>
      <x:c r="G81" s="10"/>
      <x:c r="H81" s="10"/>
      <x:c r="I81" s="10"/>
    </x:row>
    <x:row r="82" ht="19" customHeight="1">
      <x:c r="B82" s="10"/>
      <x:c r="C82" s="10"/>
      <x:c r="D82" s="10"/>
      <x:c r="E82" s="10"/>
      <x:c r="F82" s="10"/>
      <x:c r="G82" s="10"/>
      <x:c r="H82" s="10"/>
      <x:c r="I82" s="10"/>
    </x:row>
    <x:row r="83" ht="19" customHeight="1">
      <x:c r="B83" s="10"/>
      <x:c r="C83" s="10"/>
      <x:c r="D83" s="10"/>
      <x:c r="E83" s="10"/>
      <x:c r="F83" s="10"/>
      <x:c r="G83" s="10"/>
      <x:c r="H83" s="10"/>
      <x:c r="I83" s="10"/>
    </x:row>
    <x:row r="84" ht="19" customHeight="1">
      <x:c r="B84" s="10"/>
      <x:c r="C84" s="10"/>
      <x:c r="D84" s="10"/>
      <x:c r="E84" s="10"/>
      <x:c r="F84" s="10"/>
      <x:c r="G84" s="10"/>
      <x:c r="H84" s="10"/>
      <x:c r="I84" s="10"/>
    </x:row>
    <x:row r="85" ht="19" customHeight="1">
      <x:c r="B85" s="10"/>
      <x:c r="C85" s="10"/>
      <x:c r="D85" s="10"/>
      <x:c r="E85" s="10"/>
      <x:c r="F85" s="10"/>
      <x:c r="G85" s="10"/>
      <x:c r="H85" s="10"/>
      <x:c r="I85" s="10"/>
    </x:row>
    <x:row r="86" ht="19" customHeight="1">
      <x:c r="B86" s="10"/>
      <x:c r="C86" s="10"/>
      <x:c r="D86" s="10"/>
      <x:c r="E86" s="10"/>
      <x:c r="F86" s="10"/>
      <x:c r="G86" s="10"/>
      <x:c r="H86" s="10"/>
      <x:c r="I86" s="10"/>
    </x:row>
    <x:row r="87" ht="19" customHeight="1">
      <x:c r="B87" s="10"/>
      <x:c r="C87" s="10"/>
      <x:c r="D87" s="10"/>
      <x:c r="E87" s="10"/>
      <x:c r="F87" s="10"/>
      <x:c r="G87" s="10"/>
      <x:c r="H87" s="10"/>
      <x:c r="I87" s="10"/>
    </x:row>
    <x:row r="88" ht="19" customHeight="1">
      <x:c r="B88" s="10"/>
      <x:c r="C88" s="10"/>
      <x:c r="D88" s="10"/>
      <x:c r="E88" s="10"/>
      <x:c r="F88" s="10"/>
      <x:c r="G88" s="10"/>
      <x:c r="H88" s="10"/>
      <x:c r="I88" s="10"/>
    </x:row>
    <x:row r="89" ht="19" customHeight="1">
      <x:c r="B89" s="10"/>
      <x:c r="C89" s="10"/>
      <x:c r="D89" s="10"/>
      <x:c r="E89" s="10"/>
      <x:c r="F89" s="10"/>
      <x:c r="G89" s="10"/>
      <x:c r="H89" s="10"/>
      <x:c r="I89" s="10"/>
    </x:row>
    <x:row r="90" ht="19" customHeight="1">
      <x:c r="B90" s="10"/>
      <x:c r="C90" s="10"/>
      <x:c r="D90" s="10"/>
      <x:c r="E90" s="10"/>
      <x:c r="F90" s="10"/>
      <x:c r="G90" s="10"/>
      <x:c r="H90" s="10"/>
      <x:c r="I90" s="10"/>
    </x:row>
  </x:sheetData>
  <x:mergeCells>
    <x:mergeCell ref="A1:I2"/>
    <x:mergeCell ref="A3:I3"/>
    <x:mergeCell ref="A19:I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73" hidden="0" customWidth="1"/>
  </x:cols>
  <x:sheetData>
    <x:row r="1" ht="27" customHeight="1">
      <x:c r="A1" s="3" t="str">
        <x:v>03 Forecast Assumptions</x:v>
      </x:c>
      <x:c r="B1" s="3"/>
      <x:c r="C1" s="3"/>
      <x:c r="D1" s="3"/>
      <x:c r="E1" s="3"/>
    </x:row>
    <x:row r="2" ht="27" customHeight="1">
      <x:c r="A2" s="3"/>
      <x:c r="B2" s="3"/>
      <x:c r="C2" s="3"/>
      <x:c r="D2" s="3"/>
      <x:c r="E2" s="3"/>
    </x:row>
    <x:row r="3" ht="19" customHeight="1">
      <x:c r="A3" s="7" t="str">
        <x:v>Blue numeric values are analyst estimates; historical 2025 and H1 2026 data justify central assumptions</x:v>
      </x:c>
      <x:c r="B3" s="7"/>
      <x:c r="C3" s="7"/>
      <x:c r="D3" s="7"/>
      <x:c r="E3" s="7"/>
    </x:row>
    <x:row r="4" ht="19" customHeight="1"/>
    <x:row r="5" ht="19" customHeight="1">
      <x:c r="A5" s="20" t="str">
        <x:v>Assumption</x:v>
      </x:c>
      <x:c r="B5" s="21" t="str">
        <x:v>Bear</x:v>
      </x:c>
      <x:c r="C5" s="21" t="str">
        <x:v>Base</x:v>
      </x:c>
      <x:c r="D5" s="21" t="str">
        <x:v>Bull</x:v>
      </x:c>
      <x:c r="E5" s="21" t="str">
        <x:v>Rationale / source class</x:v>
      </x:c>
    </x:row>
    <x:row r="6" ht="19" customHeight="1">
      <x:c r="B6" s="10"/>
      <x:c r="C6" s="10"/>
      <x:c r="D6" s="10"/>
      <x:c r="E6" s="10"/>
    </x:row>
    <x:row r="7" ht="19" customHeight="1">
      <x:c r="A7" t="str">
        <x:v>FY2026 revenue growth</x:v>
      </x:c>
      <x:c r="B7" s="32" t="n">
        <x:v>0.01</x:v>
      </x:c>
      <x:c r="C7" s="32" t="n">
        <x:v>0.0365</x:v>
      </x:c>
      <x:c r="D7" s="32" t="n">
        <x:v>0.055</x:v>
      </x:c>
      <x:c r="E7" s="10" t="str">
        <x:v>Base anchored near H1 2026 YoY +3.65%; A</x:v>
      </x:c>
    </x:row>
    <x:row r="8" ht="19" customHeight="1">
      <x:c r="A8" t="str">
        <x:v>FY2027 growth</x:v>
      </x:c>
      <x:c r="B8" s="32" t="n">
        <x:v>0.02</x:v>
      </x:c>
      <x:c r="C8" s="32" t="n">
        <x:v>0.04</x:v>
      </x:c>
      <x:c r="D8" s="32" t="n">
        <x:v>0.065</x:v>
      </x:c>
      <x:c r="E8" s="10" t="str">
        <x:v>Mature replacement demand; analyst scenarios A</x:v>
      </x:c>
    </x:row>
    <x:row r="9" ht="19" customHeight="1">
      <x:c r="A9" t="str">
        <x:v>Annual growth fade (percentage points)</x:v>
      </x:c>
      <x:c r="B9" s="32" t="n">
        <x:v>0.003</x:v>
      </x:c>
      <x:c r="C9" s="32" t="n">
        <x:v>0.0025</x:v>
      </x:c>
      <x:c r="D9" s="32" t="n">
        <x:v>0.0025</x:v>
      </x:c>
      <x:c r="E9" s="10" t="str">
        <x:v>Convergence to sustainable growth; A</x:v>
      </x:c>
    </x:row>
    <x:row r="10" ht="19" customHeight="1">
      <x:c r="A10" t="str">
        <x:v>FY2026 normalized EBIT margin</x:v>
      </x:c>
      <x:c r="B10" s="32" t="n">
        <x:v>0.255</x:v>
      </x:c>
      <x:c r="C10" s="32" t="n">
        <x:v>0.278</x:v>
      </x:c>
      <x:c r="D10" s="32" t="n">
        <x:v>0.291</x:v>
      </x:c>
      <x:c r="E10" s="10" t="str">
        <x:v>FY25 28.14%, H1 2026 after disposal normalized ~26.79%; A</x:v>
      </x:c>
    </x:row>
    <x:row r="11" ht="19" customHeight="1">
      <x:c r="A11" t="str">
        <x:v>FY2031 target EBIT margin</x:v>
      </x:c>
      <x:c r="B11" s="32" t="n">
        <x:v>0.245</x:v>
      </x:c>
      <x:c r="C11" s="32" t="n">
        <x:v>0.275</x:v>
      </x:c>
      <x:c r="D11" s="32" t="n">
        <x:v>0.295</x:v>
      </x:c>
      <x:c r="E11" s="10" t="str">
        <x:v>Long-run cost and competitive pressure; A</x:v>
      </x:c>
    </x:row>
    <x:row r="12" ht="19" customHeight="1">
      <x:c r="A12" t="str">
        <x:v>Operating tax rate</x:v>
      </x:c>
      <x:c r="B12" s="32" t="n">
        <x:v>0.22</x:v>
      </x:c>
      <x:c r="C12" s="32" t="n">
        <x:v>0.205</x:v>
      </x:c>
      <x:c r="D12" s="32" t="n">
        <x:v>0.19</x:v>
      </x:c>
      <x:c r="E12" s="10" t="str">
        <x:v>Observed ETR ~20%; legal tax varied by consolidated entity; A</x:v>
      </x:c>
    </x:row>
    <x:row r="13" ht="19" customHeight="1">
      <x:c r="A13" t="str">
        <x:v>D&amp;A / revenue</x:v>
      </x:c>
      <x:c r="B13" s="32" t="n">
        <x:v>0.036</x:v>
      </x:c>
      <x:c r="C13" s="32" t="n">
        <x:v>0.0345</x:v>
      </x:c>
      <x:c r="D13" s="32" t="n">
        <x:v>0.033</x:v>
      </x:c>
      <x:c r="E13" s="10" t="str">
        <x:v>FY25 184,294 / 5,338,789 =3.45%; A</x:v>
      </x:c>
    </x:row>
    <x:row r="14" ht="19" customHeight="1">
      <x:c r="A14" t="str">
        <x:v>PPE CapEx / revenue</x:v>
      </x:c>
      <x:c r="B14" s="32" t="n">
        <x:v>0.055</x:v>
      </x:c>
      <x:c r="C14" s="32" t="n">
        <x:v>0.0455</x:v>
      </x:c>
      <x:c r="D14" s="32" t="n">
        <x:v>0.043</x:v>
      </x:c>
      <x:c r="E14" s="10" t="str">
        <x:v>FY25 PPE additions 241,778 /5,338,789=4.53%; A</x:v>
      </x:c>
    </x:row>
    <x:row r="15" ht="19" customHeight="1">
      <x:c r="A15" t="str">
        <x:v>FY2026 year-end NWC/revenue</x:v>
      </x:c>
      <x:c r="B15" s="32" t="n">
        <x:v>0.415</x:v>
      </x:c>
      <x:c r="C15" s="32" t="n">
        <x:v>0.385</x:v>
      </x:c>
      <x:c r="D15" s="32" t="n">
        <x:v>0.375</x:v>
      </x:c>
      <x:c r="E15" s="10" t="str">
        <x:v>FY25 NWC/revenue 38.2%; H1 2026 inventory buildup; A</x:v>
      </x:c>
    </x:row>
    <x:row r="16" ht="19" customHeight="1">
      <x:c r="A16" t="str">
        <x:v>FY2031 NWC/revenue</x:v>
      </x:c>
      <x:c r="B16" s="32" t="n">
        <x:v>0.4</x:v>
      </x:c>
      <x:c r="C16" s="32" t="n">
        <x:v>0.38</x:v>
      </x:c>
      <x:c r="D16" s="32" t="n">
        <x:v>0.36</x:v>
      </x:c>
      <x:c r="E16" s="10" t="str">
        <x:v>Gradual normalization of cash conversion; A</x:v>
      </x:c>
    </x:row>
    <x:row r="17" ht="19" customHeight="1">
      <x:c r="A17" t="str">
        <x:v>Terminal perpetual growth</x:v>
      </x:c>
      <x:c r="B17" s="32" t="n">
        <x:v>0.02</x:v>
      </x:c>
      <x:c r="C17" s="32" t="n">
        <x:v>0.03</x:v>
      </x:c>
      <x:c r="D17" s="32" t="n">
        <x:v>0.035</x:v>
      </x:c>
      <x:c r="E17" s="10" t="str">
        <x:v>Nominal IDR and sustainable macro growth; A</x:v>
      </x:c>
    </x:row>
    <x:row r="18" ht="19" customHeight="1">
      <x:c r="A18" t="str">
        <x:v>Terminal return on invested capital</x:v>
      </x:c>
      <x:c r="B18" s="32" t="n">
        <x:v>0.115</x:v>
      </x:c>
      <x:c r="C18" s="32" t="n">
        <x:v>0.145</x:v>
      </x:c>
      <x:c r="D18" s="32" t="n">
        <x:v>0.175</x:v>
      </x:c>
      <x:c r="E18" s="10" t="str">
        <x:v>Sustainable return; modeled scenario assumption A</x:v>
      </x:c>
    </x:row>
    <x:row r="19" ht="19" customHeight="1">
      <x:c r="A19" t="str">
        <x:v>WACC scenario shift</x:v>
      </x:c>
      <x:c r="B19" s="32" t="n">
        <x:v>0.01</x:v>
      </x:c>
      <x:c r="C19" s="32" t="n">
        <x:v>0</x:v>
      </x:c>
      <x:c r="D19" s="32" t="n">
        <x:v>-0.0075</x:v>
      </x:c>
      <x:c r="E19" s="10" t="str">
        <x:v>Risk and macro exposure; A</x:v>
      </x:c>
    </x:row>
    <x:row r="20" ht="19" customHeight="1">
      <x:c r="A20" t="str">
        <x:v>NCI market/book multiple</x:v>
      </x:c>
      <x:c r="B20" s="30" t="n">
        <x:v>1.2</x:v>
      </x:c>
      <x:c r="C20" s="30" t="n">
        <x:v>1</x:v>
      </x:c>
      <x:c r="D20" s="30" t="n">
        <x:v>0.85</x:v>
      </x:c>
      <x:c r="E20" s="10" t="str">
        <x:v>Book only proxy, not verified fair value; A</x:v>
      </x:c>
    </x:row>
    <x:row r="21" ht="19" customHeight="1">
      <x:c r="A21" t="str">
        <x:v>Operating cash reserve/revenue</x:v>
      </x:c>
      <x:c r="B21" s="32" t="n">
        <x:v>0.1</x:v>
      </x:c>
      <x:c r="C21" s="32" t="n">
        <x:v>0.075</x:v>
      </x:c>
      <x:c r="D21" s="32" t="n">
        <x:v>0.05</x:v>
      </x:c>
      <x:c r="E21" s="10" t="str">
        <x:v>Working liquidity judgment; A</x:v>
      </x:c>
    </x:row>
    <x:row r="22" ht="19" customHeight="1">
      <x:c r="A22" t="str">
        <x:v>Extra cash roll-forward adjustment (Rp m)</x:v>
      </x:c>
      <x:c r="B22" s="30" t="n">
        <x:v>-150000</x:v>
      </x:c>
      <x:c r="C22" s="30" t="n">
        <x:v>0</x:v>
      </x:c>
      <x:c r="D22" s="30" t="n">
        <x:v>150000</x:v>
      </x:c>
      <x:c r="E22" s="10" t="str">
        <x:v>Unmodeled cash movements; explicit sensitivity A</x:v>
      </x:c>
    </x:row>
    <x:row r="23" ht="19" customHeight="1">
      <x:c r="A23" t="str">
        <x:v>Other derivative liability in bridge fraction</x:v>
      </x:c>
      <x:c r="B23" s="30" t="n">
        <x:v>1</x:v>
      </x:c>
      <x:c r="C23" s="30" t="n">
        <x:v>1</x:v>
      </x:c>
      <x:c r="D23" s="30" t="n">
        <x:v>1</x:v>
      </x:c>
      <x:c r="E23" s="10" t="str">
        <x:v>Full H1 2026 derivative liability deductible as conservative claim; A</x:v>
      </x:c>
    </x:row>
    <x:row r="24" ht="19" customHeight="1">
      <x:c r="B24" s="10"/>
      <x:c r="C24" s="10"/>
      <x:c r="D24" s="10"/>
      <x:c r="E24" s="10"/>
    </x:row>
    <x:row r="25" ht="19" customHeight="1">
      <x:c r="B25" s="10"/>
      <x:c r="C25" s="10"/>
      <x:c r="D25" s="10"/>
      <x:c r="E25" s="10"/>
    </x:row>
    <x:row r="26" ht="19" customHeight="1">
      <x:c r="A26" s="14" t="str">
        <x:v>ASSUMPTION RESTRICTIONS</x:v>
      </x:c>
      <x:c r="B26" s="15"/>
      <x:c r="C26" s="15"/>
      <x:c r="D26" s="15"/>
      <x:c r="E26" s="15"/>
    </x:row>
    <x:row r="27" ht="19" customHeight="1">
      <x:c r="B27" s="10"/>
      <x:c r="C27" s="10"/>
      <x:c r="D27" s="10"/>
      <x:c r="E27" s="10"/>
    </x:row>
    <x:row r="28" ht="19" customHeight="1">
      <x:c r="A28" t="str">
        <x:v>Annual net working capital intensity is year-end NWC/revenue; only changes enter FCFF.</x:v>
      </x:c>
      <x:c r="B28" s="10"/>
      <x:c r="C28" s="10"/>
      <x:c r="D28" s="10"/>
      <x:c r="E28" s="10"/>
    </x:row>
    <x:row r="29" ht="19" customHeight="1">
      <x:c r="A29" t="str">
        <x:v>Do NOT copy H1 2026 inventory increase into every forward period.</x:v>
      </x:c>
      <x:c r="B29" s="10"/>
      <x:c r="C29" s="10"/>
      <x:c r="D29" s="10"/>
      <x:c r="E29" s="10"/>
    </x:row>
    <x:row r="30" ht="19" customHeight="1">
      <x:c r="A30" t="str">
        <x:v>Terminal NOPAT reinvestment = terminal growth / stable ROIC; no free perpetual growth.</x:v>
      </x:c>
      <x:c r="B30" s="10"/>
      <x:c r="C30" s="10"/>
      <x:c r="D30" s="10"/>
      <x:c r="E30" s="10"/>
    </x:row>
    <x:row r="31" ht="19" customHeight="1">
      <x:c r="A31" t="str">
        <x:v>Scenario values are analyst conditions, NOT management guidance or verified observations.</x:v>
      </x:c>
      <x:c r="B31" s="10"/>
      <x:c r="C31" s="10"/>
      <x:c r="D31" s="10"/>
      <x:c r="E31" s="10"/>
    </x:row>
    <x:row r="32" ht="19" customHeight="1">
      <x:c r="A32" t="str">
        <x:v>Full FY2026 forecast is pro-forma; post-23 October future cash fraction is an estimate.</x:v>
      </x:c>
      <x:c r="B32" s="10"/>
      <x:c r="C32" s="10"/>
      <x:c r="D32" s="10"/>
      <x:c r="E32" s="10"/>
    </x:row>
    <x:row r="33" ht="19" customHeight="1">
      <x:c r="B33" s="10"/>
      <x:c r="C33" s="10"/>
      <x:c r="D33" s="10"/>
      <x:c r="E33" s="10"/>
    </x:row>
    <x:row r="34" ht="19" customHeight="1">
      <x:c r="B34" s="10"/>
      <x:c r="C34" s="10"/>
      <x:c r="D34" s="10"/>
      <x:c r="E34" s="10"/>
    </x:row>
    <x:row r="35" ht="19" customHeight="1">
      <x:c r="B35" s="10"/>
      <x:c r="C35" s="10"/>
      <x:c r="D35" s="10"/>
      <x:c r="E35" s="10"/>
    </x:row>
    <x:row r="36" ht="19" customHeight="1">
      <x:c r="B36" s="10"/>
      <x:c r="C36" s="10"/>
      <x:c r="D36" s="10"/>
      <x:c r="E36" s="10"/>
    </x:row>
    <x:row r="37" ht="19" customHeight="1">
      <x:c r="B37" s="10"/>
      <x:c r="C37" s="10"/>
      <x:c r="D37" s="10"/>
      <x:c r="E37" s="10"/>
    </x:row>
    <x:row r="38" ht="19" customHeight="1">
      <x:c r="B38" s="10"/>
      <x:c r="C38" s="10"/>
      <x:c r="D38" s="10"/>
      <x:c r="E38" s="10"/>
    </x:row>
    <x:row r="39" ht="19" customHeight="1">
      <x:c r="B39" s="10"/>
      <x:c r="C39" s="10"/>
      <x:c r="D39" s="10"/>
      <x:c r="E39" s="10"/>
    </x:row>
    <x:row r="40" ht="19" customHeight="1">
      <x:c r="B40" s="10"/>
      <x:c r="C40" s="10"/>
      <x:c r="D40" s="10"/>
      <x:c r="E40" s="10"/>
    </x:row>
    <x:row r="41" ht="19" customHeight="1">
      <x:c r="B41" s="10"/>
      <x:c r="C41" s="10"/>
      <x:c r="D41" s="10"/>
      <x:c r="E41" s="10"/>
    </x:row>
    <x:row r="42" ht="19" customHeight="1">
      <x:c r="B42" s="10"/>
      <x:c r="C42" s="10"/>
      <x:c r="D42" s="10"/>
      <x:c r="E42" s="10"/>
    </x:row>
    <x:row r="43" ht="19" customHeight="1">
      <x:c r="B43" s="10"/>
      <x:c r="C43" s="10"/>
      <x:c r="D43" s="10"/>
      <x:c r="E43" s="10"/>
    </x:row>
    <x:row r="44" ht="19" customHeight="1">
      <x:c r="B44" s="10"/>
      <x:c r="C44" s="10"/>
      <x:c r="D44" s="10"/>
      <x:c r="E44" s="10"/>
    </x:row>
    <x:row r="45" ht="19" customHeight="1">
      <x:c r="B45" s="10"/>
      <x:c r="C45" s="10"/>
      <x:c r="D45" s="10"/>
      <x:c r="E45" s="10"/>
    </x:row>
    <x:row r="46" ht="19" customHeight="1">
      <x:c r="B46" s="10"/>
      <x:c r="C46" s="10"/>
      <x:c r="D46" s="10"/>
      <x:c r="E46" s="10"/>
    </x:row>
    <x:row r="47" ht="19" customHeight="1">
      <x:c r="B47" s="10"/>
      <x:c r="C47" s="10"/>
      <x:c r="D47" s="10"/>
      <x:c r="E47" s="10"/>
    </x:row>
    <x:row r="48" ht="19" customHeight="1">
      <x:c r="B48" s="10"/>
      <x:c r="C48" s="10"/>
      <x:c r="D48" s="10"/>
      <x:c r="E48" s="10"/>
    </x:row>
    <x:row r="49" ht="19" customHeight="1">
      <x:c r="B49" s="10"/>
      <x:c r="C49" s="10"/>
      <x:c r="D49" s="10"/>
      <x:c r="E49" s="10"/>
    </x:row>
    <x:row r="50" ht="19" customHeight="1">
      <x:c r="B50" s="10"/>
      <x:c r="C50" s="10"/>
      <x:c r="D50" s="10"/>
      <x:c r="E50" s="10"/>
    </x:row>
    <x:row r="51" ht="19" customHeight="1">
      <x:c r="B51" s="10"/>
      <x:c r="C51" s="10"/>
      <x:c r="D51" s="10"/>
      <x:c r="E51" s="10"/>
    </x:row>
    <x:row r="52" ht="19" customHeight="1">
      <x:c r="B52" s="10"/>
      <x:c r="C52" s="10"/>
      <x:c r="D52" s="10"/>
      <x:c r="E52" s="10"/>
    </x:row>
    <x:row r="53" ht="19" customHeight="1">
      <x:c r="B53" s="10"/>
      <x:c r="C53" s="10"/>
      <x:c r="D53" s="10"/>
      <x:c r="E53" s="10"/>
    </x:row>
    <x:row r="54" ht="19" customHeight="1">
      <x:c r="B54" s="10"/>
      <x:c r="C54" s="10"/>
      <x:c r="D54" s="10"/>
      <x:c r="E54" s="10"/>
    </x:row>
    <x:row r="55" ht="19" customHeight="1">
      <x:c r="B55" s="10"/>
      <x:c r="C55" s="10"/>
      <x:c r="D55" s="10"/>
      <x:c r="E55" s="10"/>
    </x:row>
    <x:row r="56" ht="19" customHeight="1">
      <x:c r="B56" s="10"/>
      <x:c r="C56" s="10"/>
      <x:c r="D56" s="10"/>
      <x:c r="E56" s="10"/>
    </x:row>
    <x:row r="57" ht="19" customHeight="1">
      <x:c r="B57" s="10"/>
      <x:c r="C57" s="10"/>
      <x:c r="D57" s="10"/>
      <x:c r="E57" s="10"/>
    </x:row>
    <x:row r="58" ht="19" customHeight="1">
      <x:c r="B58" s="10"/>
      <x:c r="C58" s="10"/>
      <x:c r="D58" s="10"/>
      <x:c r="E58" s="10"/>
    </x:row>
    <x:row r="59" ht="19" customHeight="1">
      <x:c r="B59" s="10"/>
      <x:c r="C59" s="10"/>
      <x:c r="D59" s="10"/>
      <x:c r="E59" s="10"/>
    </x:row>
    <x:row r="60" ht="19" customHeight="1">
      <x:c r="B60" s="10"/>
      <x:c r="C60" s="10"/>
      <x:c r="D60" s="10"/>
      <x:c r="E60" s="10"/>
    </x:row>
    <x:row r="61" ht="19" customHeight="1">
      <x:c r="B61" s="10"/>
      <x:c r="C61" s="10"/>
      <x:c r="D61" s="10"/>
      <x:c r="E61" s="10"/>
    </x:row>
    <x:row r="62" ht="19" customHeight="1">
      <x:c r="B62" s="10"/>
      <x:c r="C62" s="10"/>
      <x:c r="D62" s="10"/>
      <x:c r="E62" s="10"/>
    </x:row>
    <x:row r="63" ht="19" customHeight="1">
      <x:c r="B63" s="10"/>
      <x:c r="C63" s="10"/>
      <x:c r="D63" s="10"/>
      <x:c r="E63" s="10"/>
    </x:row>
    <x:row r="64" ht="19" customHeight="1">
      <x:c r="B64" s="10"/>
      <x:c r="C64" s="10"/>
      <x:c r="D64" s="10"/>
      <x:c r="E64" s="10"/>
    </x:row>
    <x:row r="65" ht="19" customHeight="1">
      <x:c r="B65" s="10"/>
      <x:c r="C65" s="10"/>
      <x:c r="D65" s="10"/>
      <x:c r="E65" s="10"/>
    </x:row>
    <x:row r="66" ht="19" customHeight="1">
      <x:c r="B66" s="10"/>
      <x:c r="C66" s="10"/>
      <x:c r="D66" s="10"/>
      <x:c r="E66" s="10"/>
    </x:row>
    <x:row r="67" ht="19" customHeight="1">
      <x:c r="B67" s="10"/>
      <x:c r="C67" s="10"/>
      <x:c r="D67" s="10"/>
      <x:c r="E67" s="10"/>
    </x:row>
    <x:row r="68" ht="19" customHeight="1">
      <x:c r="B68" s="10"/>
      <x:c r="C68" s="10"/>
      <x:c r="D68" s="10"/>
      <x:c r="E68" s="10"/>
    </x:row>
    <x:row r="69" ht="19" customHeight="1">
      <x:c r="B69" s="10"/>
      <x:c r="C69" s="10"/>
      <x:c r="D69" s="10"/>
      <x:c r="E69" s="10"/>
    </x:row>
    <x:row r="70" ht="19" customHeight="1">
      <x:c r="B70" s="10"/>
      <x:c r="C70" s="10"/>
      <x:c r="D70" s="10"/>
      <x:c r="E70" s="10"/>
    </x:row>
    <x:row r="71" ht="19" customHeight="1">
      <x:c r="B71" s="10"/>
      <x:c r="C71" s="10"/>
      <x:c r="D71" s="10"/>
      <x:c r="E71" s="10"/>
    </x:row>
    <x:row r="72" ht="19" customHeight="1">
      <x:c r="B72" s="10"/>
      <x:c r="C72" s="10"/>
      <x:c r="D72" s="10"/>
      <x:c r="E72" s="10"/>
    </x:row>
    <x:row r="73" ht="19" customHeight="1">
      <x:c r="B73" s="10"/>
      <x:c r="C73" s="10"/>
      <x:c r="D73" s="10"/>
      <x:c r="E73" s="10"/>
    </x:row>
    <x:row r="74" ht="19" customHeight="1">
      <x:c r="B74" s="10"/>
      <x:c r="C74" s="10"/>
      <x:c r="D74" s="10"/>
      <x:c r="E74" s="10"/>
    </x:row>
    <x:row r="75" ht="19" customHeight="1">
      <x:c r="B75" s="10"/>
      <x:c r="C75" s="10"/>
      <x:c r="D75" s="10"/>
      <x:c r="E75" s="10"/>
    </x:row>
    <x:row r="76" ht="19" customHeight="1">
      <x:c r="B76" s="10"/>
      <x:c r="C76" s="10"/>
      <x:c r="D76" s="10"/>
      <x:c r="E76" s="10"/>
    </x:row>
    <x:row r="77" ht="19" customHeight="1">
      <x:c r="B77" s="10"/>
      <x:c r="C77" s="10"/>
      <x:c r="D77" s="10"/>
      <x:c r="E77" s="10"/>
    </x:row>
    <x:row r="78" ht="19" customHeight="1">
      <x:c r="B78" s="10"/>
      <x:c r="C78" s="10"/>
      <x:c r="D78" s="10"/>
      <x:c r="E78" s="10"/>
    </x:row>
    <x:row r="79" ht="19" customHeight="1">
      <x:c r="B79" s="10"/>
      <x:c r="C79" s="10"/>
      <x:c r="D79" s="10"/>
      <x:c r="E79" s="10"/>
    </x:row>
    <x:row r="80" ht="19" customHeight="1">
      <x:c r="B80" s="10"/>
      <x:c r="C80" s="10"/>
      <x:c r="D80" s="10"/>
      <x:c r="E80" s="10"/>
    </x:row>
    <x:row r="81" ht="19" customHeight="1">
      <x:c r="B81" s="10"/>
      <x:c r="C81" s="10"/>
      <x:c r="D81" s="10"/>
      <x:c r="E81" s="10"/>
    </x:row>
    <x:row r="82" ht="19" customHeight="1">
      <x:c r="B82" s="10"/>
      <x:c r="C82" s="10"/>
      <x:c r="D82" s="10"/>
      <x:c r="E82" s="10"/>
    </x:row>
    <x:row r="83" ht="19" customHeight="1">
      <x:c r="B83" s="10"/>
      <x:c r="C83" s="10"/>
      <x:c r="D83" s="10"/>
      <x:c r="E83" s="10"/>
    </x:row>
    <x:row r="84" ht="19" customHeight="1">
      <x:c r="B84" s="10"/>
      <x:c r="C84" s="10"/>
      <x:c r="D84" s="10"/>
      <x:c r="E84" s="10"/>
    </x:row>
    <x:row r="85" ht="19" customHeight="1">
      <x:c r="B85" s="10"/>
      <x:c r="C85" s="10"/>
      <x:c r="D85" s="10"/>
      <x:c r="E85" s="10"/>
    </x:row>
    <x:row r="86" ht="19" customHeight="1">
      <x:c r="B86" s="10"/>
      <x:c r="C86" s="10"/>
      <x:c r="D86" s="10"/>
      <x:c r="E86" s="10"/>
    </x:row>
    <x:row r="87" ht="19" customHeight="1">
      <x:c r="B87" s="10"/>
      <x:c r="C87" s="10"/>
      <x:c r="D87" s="10"/>
      <x:c r="E87" s="10"/>
    </x:row>
    <x:row r="88" ht="19" customHeight="1">
      <x:c r="B88" s="10"/>
      <x:c r="C88" s="10"/>
      <x:c r="D88" s="10"/>
      <x:c r="E88" s="10"/>
    </x:row>
    <x:row r="89" ht="19" customHeight="1">
      <x:c r="B89" s="10"/>
      <x:c r="C89" s="10"/>
      <x:c r="D89" s="10"/>
      <x:c r="E89" s="10"/>
    </x:row>
    <x:row r="90" ht="19" customHeight="1">
      <x:c r="B90" s="10"/>
      <x:c r="C90" s="10"/>
      <x:c r="D90" s="10"/>
      <x:c r="E90" s="10"/>
    </x:row>
  </x:sheetData>
  <x:mergeCells>
    <x:mergeCell ref="A1:E2"/>
    <x:mergeCell ref="A3:E3"/>
    <x:mergeCell ref="A26:E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7" customHeight="1">
      <x:c r="A1" s="3" t="str">
        <x:v>04 Financial Forecast</x:v>
      </x:c>
      <x:c r="B1" s="3"/>
      <x:c r="C1" s="3"/>
      <x:c r="D1" s="3"/>
      <x:c r="E1" s="3"/>
      <x:c r="F1" s="3"/>
      <x:c r="G1" s="3"/>
      <x:c r="H1" s="3"/>
      <x:c r="I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19" customHeight="1">
      <x:c r="A3" s="7" t="str">
        <x:v>Columns C–H = FY2026 estimates + FY2027–FY2031 forecast • scenario blocks</x:v>
      </x:c>
      <x:c r="B3" s="7"/>
      <x:c r="C3" s="7"/>
      <x:c r="D3" s="7"/>
      <x:c r="E3" s="7"/>
      <x:c r="F3" s="7"/>
      <x:c r="G3" s="7"/>
      <x:c r="H3" s="7"/>
      <x:c r="I3" s="7"/>
    </x:row>
    <x:row r="4" ht="19" customHeight="1"/>
    <x:row r="5" ht="19" customHeight="1">
      <x:c r="B5" s="10"/>
      <x:c r="C5" s="10"/>
      <x:c r="D5" s="10"/>
      <x:c r="E5" s="10"/>
      <x:c r="F5" s="10"/>
      <x:c r="G5" s="10"/>
      <x:c r="H5" s="10"/>
      <x:c r="I5" s="10"/>
    </x:row>
    <x:row r="6" ht="19" customHeight="1">
      <x:c r="A6" s="14" t="str">
        <x:v>BEAR — FINANCIAL FORECAST (Rp million)</x:v>
      </x:c>
      <x:c r="B6" s="15"/>
      <x:c r="C6" s="15"/>
      <x:c r="D6" s="15"/>
      <x:c r="E6" s="15"/>
      <x:c r="F6" s="15"/>
      <x:c r="G6" s="15"/>
      <x:c r="H6" s="15"/>
      <x:c r="I6" s="15"/>
    </x:row>
    <x:row r="7" ht="19" customHeight="1">
      <x:c r="B7" s="10" t="str">
        <x:v>FY2025 actual</x:v>
      </x:c>
      <x:c r="C7" s="10" t="str">
        <x:v>FY2026 Est</x:v>
      </x:c>
      <x:c r="D7" s="10" t="str">
        <x:v>FY2027</x:v>
      </x:c>
      <x:c r="E7" s="10" t="str">
        <x:v>FY2028</x:v>
      </x:c>
      <x:c r="F7" s="10" t="str">
        <x:v>FY2029</x:v>
      </x:c>
      <x:c r="G7" s="10" t="str">
        <x:v>FY2030</x:v>
      </x:c>
      <x:c r="H7" s="10" t="str">
        <x:v>FY2031</x:v>
      </x:c>
      <x:c r="I7" s="10"/>
    </x:row>
    <x:row r="8" ht="19" customHeight="1">
      <x:c r="A8" t="str">
        <x:v>Revenue</x:v>
      </x:c>
      <x:c r="B8" s="34" t="n">
        <x:f>'02 Historical &amp; TTM'!F6</x:f>
        <x:v>5338789</x:v>
      </x:c>
      <x:c r="C8" s="26" t="n">
        <x:f>B8*(1+C9)</x:f>
        <x:v>5392176.89</x:v>
      </x:c>
      <x:c r="D8" s="26" t="n">
        <x:f>C8*(1+D9)</x:f>
        <x:v>5500020.4278</x:v>
      </x:c>
      <x:c r="E8" s="26" t="n">
        <x:f>D8*(1+E9)</x:f>
        <x:v>5610020.836356</x:v>
      </x:c>
      <x:c r="F8" s="26" t="n">
        <x:f>E8*(1+F9)</x:f>
        <x:v>5722221.25308312</x:v>
      </x:c>
      <x:c r="G8" s="26" t="n">
        <x:f>F8*(1+G9)</x:f>
        <x:v>5836665.678144783</x:v>
      </x:c>
      <x:c r="H8" s="26" t="n">
        <x:f>G8*(1+H9)</x:f>
        <x:v>5953398.991707679</x:v>
      </x:c>
      <x:c r="I8" s="10"/>
    </x:row>
    <x:row r="9" ht="19" customHeight="1">
      <x:c r="A9" t="str">
        <x:v>Revenue growth</x:v>
      </x:c>
      <x:c r="B9" s="38" t="n">
        <x:f>'02 Historical &amp; TTM'!F6/'02 Historical &amp; TTM'!E6-1</x:f>
        <x:v>0.0336504365453143</x:v>
      </x:c>
      <x:c r="C9" s="38" t="n">
        <x:f>'03 Forecast Assumptions'!B7</x:f>
        <x:v>0.01</x:v>
      </x:c>
      <x:c r="D9" s="38" t="n">
        <x:f>MAX('03 Forecast Assumptions'!B17,'03 Forecast Assumptions'!B8-0*'03 Forecast Assumptions'!B9)</x:f>
        <x:v>0.02</x:v>
      </x:c>
      <x:c r="E9" s="38" t="n">
        <x:f>MAX('03 Forecast Assumptions'!B17,'03 Forecast Assumptions'!B8-1*'03 Forecast Assumptions'!B9)</x:f>
        <x:v>0.02</x:v>
      </x:c>
      <x:c r="F9" s="38" t="n">
        <x:f>MAX('03 Forecast Assumptions'!B17,'03 Forecast Assumptions'!B8-2*'03 Forecast Assumptions'!B9)</x:f>
        <x:v>0.02</x:v>
      </x:c>
      <x:c r="G9" s="38" t="n">
        <x:f>MAX('03 Forecast Assumptions'!B17,'03 Forecast Assumptions'!B8-3*'03 Forecast Assumptions'!B9)</x:f>
        <x:v>0.02</x:v>
      </x:c>
      <x:c r="H9" s="38" t="n">
        <x:f>MAX('03 Forecast Assumptions'!B17,'03 Forecast Assumptions'!B8-4*'03 Forecast Assumptions'!B9)</x:f>
        <x:v>0.02</x:v>
      </x:c>
      <x:c r="I9" s="10"/>
    </x:row>
    <x:row r="10" ht="19" customHeight="1">
      <x:c r="A10" t="str">
        <x:v>EBIT margin</x:v>
      </x:c>
      <x:c r="B10" s="38" t="n">
        <x:f>'02 Historical &amp; TTM'!F21</x:f>
        <x:v>0.28137317283001817</x:v>
      </x:c>
      <x:c r="C10" s="38" t="n">
        <x:f>'03 Forecast Assumptions'!B10</x:f>
        <x:v>0.255</x:v>
      </x:c>
      <x:c r="D10" s="38" t="n">
        <x:f>'03 Forecast Assumptions'!B10+('03 Forecast Assumptions'!B11-'03 Forecast Assumptions'!B10)*1/5</x:f>
        <x:v>0.253</x:v>
      </x:c>
      <x:c r="E10" s="38" t="n">
        <x:f>'03 Forecast Assumptions'!B10+('03 Forecast Assumptions'!B11-'03 Forecast Assumptions'!B10)*2/5</x:f>
        <x:v>0.251</x:v>
      </x:c>
      <x:c r="F10" s="38" t="n">
        <x:f>'03 Forecast Assumptions'!B10+('03 Forecast Assumptions'!B11-'03 Forecast Assumptions'!B10)*3/5</x:f>
        <x:v>0.249</x:v>
      </x:c>
      <x:c r="G10" s="38" t="n">
        <x:f>'03 Forecast Assumptions'!B10+('03 Forecast Assumptions'!B11-'03 Forecast Assumptions'!B10)*4/5</x:f>
        <x:v>0.247</x:v>
      </x:c>
      <x:c r="H10" s="38" t="n">
        <x:f>'03 Forecast Assumptions'!B10+('03 Forecast Assumptions'!B11-'03 Forecast Assumptions'!B10)*5/5</x:f>
        <x:v>0.245</x:v>
      </x:c>
      <x:c r="I10" s="10"/>
    </x:row>
    <x:row r="11" ht="19" customHeight="1">
      <x:c r="A11" t="str">
        <x:v>Normalized EBIT</x:v>
      </x:c>
      <x:c r="B11" s="34" t="n">
        <x:f>'02 Historical &amp; TTM'!F7</x:f>
        <x:v>1502192</x:v>
      </x:c>
      <x:c r="C11" s="26" t="n">
        <x:f>C8*C10</x:f>
        <x:v>1375005.10695</x:v>
      </x:c>
      <x:c r="D11" s="26" t="n">
        <x:f>D8*D10</x:f>
        <x:v>1391505.1682334</x:v>
      </x:c>
      <x:c r="E11" s="26" t="n">
        <x:f>E8*E10</x:f>
        <x:v>1408115.229925356</x:v>
      </x:c>
      <x:c r="F11" s="26" t="n">
        <x:f>F8*F10</x:f>
        <x:v>1424833.092017697</x:v>
      </x:c>
      <x:c r="G11" s="26" t="n">
        <x:f>G8*G10</x:f>
        <x:v>1441656.4225017612</x:v>
      </x:c>
      <x:c r="H11" s="26" t="n">
        <x:f>H8*H10</x:f>
        <x:v>1458582.7529683814</x:v>
      </x:c>
      <x:c r="I11" s="10"/>
    </x:row>
    <x:row r="12" ht="19" customHeight="1">
      <x:c r="A12" t="str">
        <x:v>Operating taxes</x:v>
      </x:c>
      <x:c r="B12" s="34" t="n">
        <x:f>'02 Historical &amp; TTM'!F11</x:f>
        <x:v>1123930</x:v>
      </x:c>
      <x:c r="C12" s="34" t="n">
        <x:f>C11*'03 Forecast Assumptions'!B12</x:f>
        <x:v>302501.123529</x:v>
      </x:c>
      <x:c r="D12" s="34" t="n">
        <x:f>D11*'03 Forecast Assumptions'!B12</x:f>
        <x:v>306131.137011348</x:v>
      </x:c>
      <x:c r="E12" s="34" t="n">
        <x:f>E11*'03 Forecast Assumptions'!B12</x:f>
        <x:v>309785.35058357834</x:v>
      </x:c>
      <x:c r="F12" s="34" t="n">
        <x:f>F11*'03 Forecast Assumptions'!B12</x:f>
        <x:v>313463.2802438933</x:v>
      </x:c>
      <x:c r="G12" s="34" t="n">
        <x:f>G11*'03 Forecast Assumptions'!B12</x:f>
        <x:v>317164.41295038746</x:v>
      </x:c>
      <x:c r="H12" s="34" t="n">
        <x:f>H11*'03 Forecast Assumptions'!B12</x:f>
        <x:v>320888.20565304393</x:v>
      </x:c>
      <x:c r="I12" s="10"/>
    </x:row>
    <x:row r="13" ht="19" customHeight="1">
      <x:c r="A13" t="str">
        <x:v>NOPAT</x:v>
      </x:c>
      <x:c r="B13" s="26" t="n">
        <x:f>B11-B12</x:f>
        <x:v>378262</x:v>
      </x:c>
      <x:c r="C13" s="26" t="n">
        <x:f>C11-C12</x:f>
        <x:v>1072503.983421</x:v>
      </x:c>
      <x:c r="D13" s="26" t="n">
        <x:f>D11-D12</x:f>
        <x:v>1085374.031222052</x:v>
      </x:c>
      <x:c r="E13" s="26" t="n">
        <x:f>E11-E12</x:f>
        <x:v>1098329.8793417779</x:v>
      </x:c>
      <x:c r="F13" s="26" t="n">
        <x:f>F11-F12</x:f>
        <x:v>1111369.8117738036</x:v>
      </x:c>
      <x:c r="G13" s="26" t="n">
        <x:f>G11-G12</x:f>
        <x:v>1124492.0095513738</x:v>
      </x:c>
      <x:c r="H13" s="26" t="n">
        <x:f>H11-H12</x:f>
        <x:v>1137694.5473153375</x:v>
      </x:c>
      <x:c r="I13" s="10"/>
    </x:row>
    <x:row r="14" ht="19" customHeight="1">
      <x:c r="A14" t="str">
        <x:v>D&amp;A / revenue</x:v>
      </x:c>
      <x:c r="B14" s="38" t="n">
        <x:f>'02 Historical &amp; TTM'!F20/'02 Historical &amp; TTM'!F6-'02 Historical &amp; TTM'!F7/'02 Historical &amp; TTM'!F6</x:f>
        <x:v>0.29752870922600616</x:v>
      </x:c>
      <x:c r="C14" s="38" t="n">
        <x:f>'03 Forecast Assumptions'!B13</x:f>
        <x:v>0.036</x:v>
      </x:c>
      <x:c r="D14" s="38" t="n">
        <x:f>'03 Forecast Assumptions'!B13</x:f>
        <x:v>0.036</x:v>
      </x:c>
      <x:c r="E14" s="38" t="n">
        <x:f>'03 Forecast Assumptions'!B13</x:f>
        <x:v>0.036</x:v>
      </x:c>
      <x:c r="F14" s="38" t="n">
        <x:f>'03 Forecast Assumptions'!B13</x:f>
        <x:v>0.036</x:v>
      </x:c>
      <x:c r="G14" s="38" t="n">
        <x:f>'03 Forecast Assumptions'!B13</x:f>
        <x:v>0.036</x:v>
      </x:c>
      <x:c r="H14" s="38" t="n">
        <x:f>'03 Forecast Assumptions'!B13</x:f>
        <x:v>0.036</x:v>
      </x:c>
      <x:c r="I14" s="10"/>
    </x:row>
    <x:row r="15" ht="19" customHeight="1">
      <x:c r="A15" t="str">
        <x:v>D&amp;A</x:v>
      </x:c>
      <x:c r="B15" s="34" t="n">
        <x:f>'02 Historical &amp; TTM'!F20-'02 Historical &amp; TTM'!F7</x:f>
        <x:v>1588443</x:v>
      </x:c>
      <x:c r="C15" s="26" t="n">
        <x:f>C8*C14</x:f>
        <x:v>194118.36803999997</x:v>
      </x:c>
      <x:c r="D15" s="26" t="n">
        <x:f>D8*D14</x:f>
        <x:v>198000.73540079998</x:v>
      </x:c>
      <x:c r="E15" s="26" t="n">
        <x:f>E8*E14</x:f>
        <x:v>201960.750108816</x:v>
      </x:c>
      <x:c r="F15" s="26" t="n">
        <x:f>F8*F14</x:f>
        <x:v>205999.9651109923</x:v>
      </x:c>
      <x:c r="G15" s="26" t="n">
        <x:f>G8*G14</x:f>
        <x:v>210119.96441321218</x:v>
      </x:c>
      <x:c r="H15" s="26" t="n">
        <x:f>H8*H14</x:f>
        <x:v>214322.36370147642</x:v>
      </x:c>
      <x:c r="I15" s="10"/>
    </x:row>
    <x:row r="16" ht="19" customHeight="1">
      <x:c r="A16" t="str">
        <x:v>CapEx / revenue</x:v>
      </x:c>
      <x:c r="B16" s="38" t="n">
        <x:f>'02 Historical &amp; TTM'!F25/'02 Historical &amp; TTM'!F6</x:f>
        <x:v>0.045287049179130325</x:v>
      </x:c>
      <x:c r="C16" s="38" t="n">
        <x:f>'03 Forecast Assumptions'!B14</x:f>
        <x:v>0.055</x:v>
      </x:c>
      <x:c r="D16" s="38" t="n">
        <x:f>'03 Forecast Assumptions'!B14</x:f>
        <x:v>0.055</x:v>
      </x:c>
      <x:c r="E16" s="38" t="n">
        <x:f>'03 Forecast Assumptions'!B14</x:f>
        <x:v>0.055</x:v>
      </x:c>
      <x:c r="F16" s="38" t="n">
        <x:f>'03 Forecast Assumptions'!B14</x:f>
        <x:v>0.055</x:v>
      </x:c>
      <x:c r="G16" s="38" t="n">
        <x:f>'03 Forecast Assumptions'!B14</x:f>
        <x:v>0.055</x:v>
      </x:c>
      <x:c r="H16" s="38" t="n">
        <x:f>'03 Forecast Assumptions'!B14</x:f>
        <x:v>0.055</x:v>
      </x:c>
      <x:c r="I16" s="10"/>
    </x:row>
    <x:row r="17" ht="19" customHeight="1">
      <x:c r="A17" t="str">
        <x:v>CapEx</x:v>
      </x:c>
      <x:c r="B17" s="34" t="n">
        <x:f>'02 Historical &amp; TTM'!F25</x:f>
        <x:v>241778</x:v>
      </x:c>
      <x:c r="C17" s="26" t="n">
        <x:f>C8*C16</x:f>
        <x:v>296569.72894999996</x:v>
      </x:c>
      <x:c r="D17" s="26" t="n">
        <x:f>D8*D16</x:f>
        <x:v>302501.123529</x:v>
      </x:c>
      <x:c r="E17" s="26" t="n">
        <x:f>E8*E16</x:f>
        <x:v>308551.14599958</x:v>
      </x:c>
      <x:c r="F17" s="26" t="n">
        <x:f>F8*F16</x:f>
        <x:v>314722.1689195716</x:v>
      </x:c>
      <x:c r="G17" s="26" t="n">
        <x:f>G8*G16</x:f>
        <x:v>321016.61229796306</x:v>
      </x:c>
      <x:c r="H17" s="26" t="n">
        <x:f>H8*H16</x:f>
        <x:v>327436.9445439223</x:v>
      </x:c>
      <x:c r="I17" s="10"/>
    </x:row>
    <x:row r="18" ht="19" customHeight="1">
      <x:c r="A18" t="str">
        <x:v>NWC / revenue</x:v>
      </x:c>
      <x:c r="B18" s="38" t="n">
        <x:f>'02 Historical &amp; TTM'!F23/'02 Historical &amp; TTM'!F6</x:f>
        <x:v>0.38202371361745147</x:v>
      </x:c>
      <x:c r="C18" s="38" t="n">
        <x:f>'03 Forecast Assumptions'!B15</x:f>
        <x:v>0.415</x:v>
      </x:c>
      <x:c r="D18" s="38" t="n">
        <x:f>'03 Forecast Assumptions'!B15+('03 Forecast Assumptions'!B16-'03 Forecast Assumptions'!B15)*1/5</x:f>
        <x:v>0.412</x:v>
      </x:c>
      <x:c r="E18" s="38" t="n">
        <x:f>'03 Forecast Assumptions'!B15+('03 Forecast Assumptions'!B16-'03 Forecast Assumptions'!B15)*2/5</x:f>
        <x:v>0.409</x:v>
      </x:c>
      <x:c r="F18" s="38" t="n">
        <x:f>'03 Forecast Assumptions'!B15+('03 Forecast Assumptions'!B16-'03 Forecast Assumptions'!B15)*3/5</x:f>
        <x:v>0.406</x:v>
      </x:c>
      <x:c r="G18" s="38" t="n">
        <x:f>'03 Forecast Assumptions'!B15+('03 Forecast Assumptions'!B16-'03 Forecast Assumptions'!B15)*4/5</x:f>
        <x:v>0.403</x:v>
      </x:c>
      <x:c r="H18" s="38" t="n">
        <x:f>'03 Forecast Assumptions'!B15+('03 Forecast Assumptions'!B16-'03 Forecast Assumptions'!B15)*5/5</x:f>
        <x:v>0.4</x:v>
      </x:c>
      <x:c r="I18" s="10"/>
    </x:row>
    <x:row r="19" ht="19" customHeight="1">
      <x:c r="A19" t="str">
        <x:v>Operating year-end NWC</x:v>
      </x:c>
      <x:c r="B19" s="34" t="n">
        <x:f>'02 Historical &amp; TTM'!F23</x:f>
        <x:v>2039544</x:v>
      </x:c>
      <x:c r="C19" s="26" t="n">
        <x:f>C8*C18</x:f>
        <x:v>2237753.40935</x:v>
      </x:c>
      <x:c r="D19" s="26" t="n">
        <x:f>D8*D18</x:f>
        <x:v>2266008.4162536</x:v>
      </x:c>
      <x:c r="E19" s="26" t="n">
        <x:f>E8*E18</x:f>
        <x:v>2294498.5220696037</x:v>
      </x:c>
      <x:c r="F19" s="26" t="n">
        <x:f>F8*F18</x:f>
        <x:v>2323221.828751747</x:v>
      </x:c>
      <x:c r="G19" s="26" t="n">
        <x:f>G8*G18</x:f>
        <x:v>2352176.2682923474</x:v>
      </x:c>
      <x:c r="H19" s="26" t="n">
        <x:f>H8*H18</x:f>
        <x:v>2381359.5966830715</x:v>
      </x:c>
      <x:c r="I19" s="10"/>
    </x:row>
    <x:row r="20" ht="19" customHeight="1">
      <x:c r="A20" t="str">
        <x:v>Δ operating NWC</x:v>
      </x:c>
      <x:c r="B20" s="34" t="n">
        <x:f>'02 Historical &amp; TTM'!F24</x:f>
        <x:v>308908</x:v>
      </x:c>
      <x:c r="C20" s="26" t="n">
        <x:f>C19-B19</x:f>
        <x:v>198209.40934999986</x:v>
      </x:c>
      <x:c r="D20" s="26" t="n">
        <x:f>D19-C19</x:f>
        <x:v>28255.006903599948</x:v>
      </x:c>
      <x:c r="E20" s="26" t="n">
        <x:f>E19-D19</x:f>
        <x:v>28490.105816003866</x:v>
      </x:c>
      <x:c r="F20" s="26" t="n">
        <x:f>F19-E19</x:f>
        <x:v>28723.30668214336</x:v>
      </x:c>
      <x:c r="G20" s="26" t="n">
        <x:f>G19-F19</x:f>
        <x:v>28954.439540600404</x:v>
      </x:c>
      <x:c r="H20" s="26" t="n">
        <x:f>H19-G19</x:f>
        <x:v>29183.328390724026</x:v>
      </x:c>
      <x:c r="I20" s="10"/>
    </x:row>
    <x:row r="21" ht="19" customHeight="1">
      <x:c r="A21" t="str">
        <x:v>FCFF</x:v>
      </x:c>
      <x:c r="B21" s="26" t="n">
        <x:f>B13+B15-B17-B20</x:f>
        <x:v>1416019</x:v>
      </x:c>
      <x:c r="C21" s="26" t="n">
        <x:f>C13+C15-C17-C20</x:f>
        <x:v>771843.213161</x:v>
      </x:c>
      <x:c r="D21" s="26" t="n">
        <x:f>D13+D15-D17-D20</x:f>
        <x:v>952618.6361902519</x:v>
      </x:c>
      <x:c r="E21" s="26" t="n">
        <x:f>E13+E15-E17-E20</x:f>
        <x:v>963249.37763501</x:v>
      </x:c>
      <x:c r="F21" s="26" t="n">
        <x:f>F13+F15-F17-F20</x:f>
        <x:v>973924.3012830808</x:v>
      </x:c>
      <x:c r="G21" s="26" t="n">
        <x:f>G13+G15-G17-G20</x:f>
        <x:v>984640.9221260224</x:v>
      </x:c>
      <x:c r="H21" s="26" t="n">
        <x:f>H13+H15-H17-H20</x:f>
        <x:v>995396.6380821676</x:v>
      </x:c>
      <x:c r="I21" s="10"/>
    </x:row>
    <x:row r="22" ht="19" customHeight="1">
      <x:c r="A22" t="str">
        <x:v>FCFF margin</x:v>
      </x:c>
      <x:c r="B22" s="28" t="n">
        <x:f>B21/B8</x:f>
        <x:v>0.2652322464888573</x:v>
      </x:c>
      <x:c r="C22" s="28" t="n">
        <x:f>C21/C8</x:f>
        <x:v>0.1431413006113381</x:v>
      </x:c>
      <x:c r="D22" s="28" t="n">
        <x:f>D21/D8</x:f>
        <x:v>0.1732027450980392</x:v>
      </x:c>
      <x:c r="E22" s="28" t="n">
        <x:f>E21/E8</x:f>
        <x:v>0.17170156862745103</x:v>
      </x:c>
      <x:c r="F22" s="28" t="n">
        <x:f>F21/F8</x:f>
        <x:v>0.1702003921568626</x:v>
      </x:c>
      <x:c r="G22" s="28" t="n">
        <x:f>G21/G8</x:f>
        <x:v>0.16869921568627452</x:v>
      </x:c>
      <x:c r="H22" s="28" t="n">
        <x:f>H21/H8</x:f>
        <x:v>0.16719803921568627</x:v>
      </x:c>
      <x:c r="I22" s="10"/>
    </x:row>
    <x:row r="23" ht="19" customHeight="1">
      <x:c r="A23" t="str">
        <x:v>Reinvestment = capex-D&amp;A+ΔNWC</x:v>
      </x:c>
      <x:c r="B23" s="26" t="n">
        <x:f>B17-B15+B20</x:f>
        <x:v>-1037757</x:v>
      </x:c>
      <x:c r="C23" s="26" t="n">
        <x:f>C17-C15+C20</x:f>
        <x:v>300660.77025999984</x:v>
      </x:c>
      <x:c r="D23" s="26" t="n">
        <x:f>D17-D15+D20</x:f>
        <x:v>132755.39503179994</x:v>
      </x:c>
      <x:c r="E23" s="26" t="n">
        <x:f>E17-E15+E20</x:f>
        <x:v>135080.50170676786</x:v>
      </x:c>
      <x:c r="F23" s="26" t="n">
        <x:f>F17-F15+F20</x:f>
        <x:v>137445.51049072266</x:v>
      </x:c>
      <x:c r="G23" s="26" t="n">
        <x:f>G17-G15+G20</x:f>
        <x:v>139851.0874253513</x:v>
      </x:c>
      <x:c r="H23" s="26" t="n">
        <x:f>H17-H15+H20</x:f>
        <x:v>142297.90923316992</x:v>
      </x:c>
      <x:c r="I23" s="10"/>
    </x:row>
    <x:row r="24" ht="19" customHeight="1">
      <x:c r="B24" s="10"/>
      <x:c r="C24" s="10"/>
      <x:c r="D24" s="10"/>
      <x:c r="E24" s="10"/>
      <x:c r="F24" s="10"/>
      <x:c r="G24" s="10"/>
      <x:c r="H24" s="10"/>
      <x:c r="I24" s="10"/>
    </x:row>
    <x:row r="25" ht="19" customHeight="1">
      <x:c r="B25" s="10"/>
      <x:c r="C25" s="10"/>
      <x:c r="D25" s="10"/>
      <x:c r="E25" s="10"/>
      <x:c r="F25" s="10"/>
      <x:c r="G25" s="10"/>
      <x:c r="H25" s="10"/>
      <x:c r="I25" s="10"/>
    </x:row>
    <x:row r="26" ht="19" customHeight="1">
      <x:c r="B26" s="10"/>
      <x:c r="C26" s="10"/>
      <x:c r="D26" s="10"/>
      <x:c r="E26" s="10"/>
      <x:c r="F26" s="10"/>
      <x:c r="G26" s="10"/>
      <x:c r="H26" s="10"/>
      <x:c r="I26" s="10"/>
    </x:row>
    <x:row r="27" ht="19" customHeight="1">
      <x:c r="B27" s="10"/>
      <x:c r="C27" s="10"/>
      <x:c r="D27" s="10"/>
      <x:c r="E27" s="10"/>
      <x:c r="F27" s="10"/>
      <x:c r="G27" s="10"/>
      <x:c r="H27" s="10"/>
      <x:c r="I27" s="10"/>
    </x:row>
    <x:row r="28" ht="19" customHeight="1">
      <x:c r="B28" s="10"/>
      <x:c r="C28" s="10"/>
      <x:c r="D28" s="10"/>
      <x:c r="E28" s="10"/>
      <x:c r="F28" s="10"/>
      <x:c r="G28" s="10"/>
      <x:c r="H28" s="10"/>
      <x:c r="I28" s="10"/>
    </x:row>
    <x:row r="29" ht="19" customHeight="1">
      <x:c r="A29" s="14" t="str">
        <x:v>BASE — FINANCIAL FORECAST (Rp million)</x:v>
      </x:c>
      <x:c r="B29" s="15"/>
      <x:c r="C29" s="15"/>
      <x:c r="D29" s="15"/>
      <x:c r="E29" s="15"/>
      <x:c r="F29" s="15"/>
      <x:c r="G29" s="15"/>
      <x:c r="H29" s="15"/>
      <x:c r="I29" s="15"/>
    </x:row>
    <x:row r="30" ht="19" customHeight="1">
      <x:c r="B30" s="10" t="str">
        <x:v>FY2025 actual</x:v>
      </x:c>
      <x:c r="C30" s="10" t="str">
        <x:v>FY2026 Est</x:v>
      </x:c>
      <x:c r="D30" s="10" t="str">
        <x:v>FY2027</x:v>
      </x:c>
      <x:c r="E30" s="10" t="str">
        <x:v>FY2028</x:v>
      </x:c>
      <x:c r="F30" s="10" t="str">
        <x:v>FY2029</x:v>
      </x:c>
      <x:c r="G30" s="10" t="str">
        <x:v>FY2030</x:v>
      </x:c>
      <x:c r="H30" s="10" t="str">
        <x:v>FY2031</x:v>
      </x:c>
      <x:c r="I30" s="10"/>
    </x:row>
    <x:row r="31" ht="19" customHeight="1">
      <x:c r="A31" t="str">
        <x:v>Revenue</x:v>
      </x:c>
      <x:c r="B31" s="34" t="n">
        <x:f>'02 Historical &amp; TTM'!F6</x:f>
        <x:v>5338789</x:v>
      </x:c>
      <x:c r="C31" s="26" t="n">
        <x:f>B31*(1+C32)</x:f>
        <x:v>5533654.7985</x:v>
      </x:c>
      <x:c r="D31" s="26" t="n">
        <x:f>C31*(1+D32)</x:f>
        <x:v>5755000.99044</x:v>
      </x:c>
      <x:c r="E31" s="26" t="n">
        <x:f>D31*(1+E32)</x:f>
        <x:v>5970813.5275815</x:v>
      </x:c>
      <x:c r="F31" s="26" t="n">
        <x:f>E31*(1+F32)</x:f>
        <x:v>6179792.001046852</x:v>
      </x:c>
      <x:c r="G31" s="26" t="n">
        <x:f>F31*(1+G32)</x:f>
        <x:v>6380635.241080875</x:v>
      </x:c>
      <x:c r="H31" s="26" t="n">
        <x:f>G31*(1+H32)</x:f>
        <x:v>6572054.298313301</x:v>
      </x:c>
      <x:c r="I31" s="10"/>
    </x:row>
    <x:row r="32" ht="19" customHeight="1">
      <x:c r="A32" t="str">
        <x:v>Revenue growth</x:v>
      </x:c>
      <x:c r="B32" s="38" t="n">
        <x:f>'02 Historical &amp; TTM'!F6/'02 Historical &amp; TTM'!E6-1</x:f>
        <x:v>0.0336504365453143</x:v>
      </x:c>
      <x:c r="C32" s="38" t="n">
        <x:f>'03 Forecast Assumptions'!C7</x:f>
        <x:v>0.0365</x:v>
      </x:c>
      <x:c r="D32" s="38" t="n">
        <x:f>MAX('03 Forecast Assumptions'!C17,'03 Forecast Assumptions'!C8-0*'03 Forecast Assumptions'!C9)</x:f>
        <x:v>0.04</x:v>
      </x:c>
      <x:c r="E32" s="38" t="n">
        <x:f>MAX('03 Forecast Assumptions'!C17,'03 Forecast Assumptions'!C8-1*'03 Forecast Assumptions'!C9)</x:f>
        <x:v>0.0375</x:v>
      </x:c>
      <x:c r="F32" s="38" t="n">
        <x:f>MAX('03 Forecast Assumptions'!C17,'03 Forecast Assumptions'!C8-2*'03 Forecast Assumptions'!C9)</x:f>
        <x:v>0.035</x:v>
      </x:c>
      <x:c r="G32" s="38" t="n">
        <x:f>MAX('03 Forecast Assumptions'!C17,'03 Forecast Assumptions'!C8-3*'03 Forecast Assumptions'!C9)</x:f>
        <x:v>0.0325</x:v>
      </x:c>
      <x:c r="H32" s="38" t="n">
        <x:f>MAX('03 Forecast Assumptions'!C17,'03 Forecast Assumptions'!C8-4*'03 Forecast Assumptions'!C9)</x:f>
        <x:v>0.03</x:v>
      </x:c>
      <x:c r="I32" s="10"/>
    </x:row>
    <x:row r="33" ht="19" customHeight="1">
      <x:c r="A33" t="str">
        <x:v>EBIT margin</x:v>
      </x:c>
      <x:c r="B33" s="38" t="n">
        <x:f>'02 Historical &amp; TTM'!F21</x:f>
        <x:v>0.28137317283001817</x:v>
      </x:c>
      <x:c r="C33" s="38" t="n">
        <x:f>'03 Forecast Assumptions'!C10</x:f>
        <x:v>0.278</x:v>
      </x:c>
      <x:c r="D33" s="38" t="n">
        <x:f>'03 Forecast Assumptions'!C10+('03 Forecast Assumptions'!C11-'03 Forecast Assumptions'!C10)*1/5</x:f>
        <x:v>0.27740000000000004</x:v>
      </x:c>
      <x:c r="E33" s="38" t="n">
        <x:f>'03 Forecast Assumptions'!C10+('03 Forecast Assumptions'!C11-'03 Forecast Assumptions'!C10)*2/5</x:f>
        <x:v>0.27680000000000005</x:v>
      </x:c>
      <x:c r="F33" s="38" t="n">
        <x:f>'03 Forecast Assumptions'!C10+('03 Forecast Assumptions'!C11-'03 Forecast Assumptions'!C10)*3/5</x:f>
        <x:v>0.2762</x:v>
      </x:c>
      <x:c r="G33" s="38" t="n">
        <x:f>'03 Forecast Assumptions'!C10+('03 Forecast Assumptions'!C11-'03 Forecast Assumptions'!C10)*4/5</x:f>
        <x:v>0.2756</x:v>
      </x:c>
      <x:c r="H33" s="38" t="n">
        <x:f>'03 Forecast Assumptions'!C10+('03 Forecast Assumptions'!C11-'03 Forecast Assumptions'!C10)*5/5</x:f>
        <x:v>0.275</x:v>
      </x:c>
      <x:c r="I33" s="10"/>
    </x:row>
    <x:row r="34" ht="19" customHeight="1">
      <x:c r="A34" t="str">
        <x:v>Normalized EBIT</x:v>
      </x:c>
      <x:c r="B34" s="34" t="n">
        <x:f>'02 Historical &amp; TTM'!F7</x:f>
        <x:v>1502192</x:v>
      </x:c>
      <x:c r="C34" s="26" t="n">
        <x:f>C31*C33</x:f>
        <x:v>1538356.033983</x:v>
      </x:c>
      <x:c r="D34" s="26" t="n">
        <x:f>D31*D33</x:f>
        <x:v>1596437.2747480562</x:v>
      </x:c>
      <x:c r="E34" s="26" t="n">
        <x:f>E31*E33</x:f>
        <x:v>1652721.1844345594</x:v>
      </x:c>
      <x:c r="F34" s="26" t="n">
        <x:f>F31*F33</x:f>
        <x:v>1706858.5506891406</x:v>
      </x:c>
      <x:c r="G34" s="26" t="n">
        <x:f>G31*G33</x:f>
        <x:v>1758503.0724418892</x:v>
      </x:c>
      <x:c r="H34" s="26" t="n">
        <x:f>H31*H33</x:f>
        <x:v>1807314.932036158</x:v>
      </x:c>
      <x:c r="I34" s="10"/>
    </x:row>
    <x:row r="35" ht="19" customHeight="1">
      <x:c r="A35" t="str">
        <x:v>Operating taxes</x:v>
      </x:c>
      <x:c r="B35" s="34" t="n">
        <x:f>'02 Historical &amp; TTM'!F11</x:f>
        <x:v>1123930</x:v>
      </x:c>
      <x:c r="C35" s="34" t="n">
        <x:f>C34*'03 Forecast Assumptions'!C12</x:f>
        <x:v>315362.986966515</x:v>
      </x:c>
      <x:c r="D35" s="34" t="n">
        <x:f>D34*'03 Forecast Assumptions'!C12</x:f>
        <x:v>327269.6413233515</x:v>
      </x:c>
      <x:c r="E35" s="34" t="n">
        <x:f>E34*'03 Forecast Assumptions'!C12</x:f>
        <x:v>338807.8428090847</x:v>
      </x:c>
      <x:c r="F35" s="34" t="n">
        <x:f>F34*'03 Forecast Assumptions'!C12</x:f>
        <x:v>349906.0028912738</x:v>
      </x:c>
      <x:c r="G35" s="34" t="n">
        <x:f>G34*'03 Forecast Assumptions'!C12</x:f>
        <x:v>360493.1298505873</x:v>
      </x:c>
      <x:c r="H35" s="34" t="n">
        <x:f>H34*'03 Forecast Assumptions'!C12</x:f>
        <x:v>370499.5610674124</x:v>
      </x:c>
      <x:c r="I35" s="10"/>
    </x:row>
    <x:row r="36" ht="19" customHeight="1">
      <x:c r="A36" t="str">
        <x:v>NOPAT</x:v>
      </x:c>
      <x:c r="B36" s="26" t="n">
        <x:f>B34-B35</x:f>
        <x:v>378262</x:v>
      </x:c>
      <x:c r="C36" s="26" t="n">
        <x:f>C34-C35</x:f>
        <x:v>1222993.0470164851</x:v>
      </x:c>
      <x:c r="D36" s="26" t="n">
        <x:f>D34-D35</x:f>
        <x:v>1269167.6334247047</x:v>
      </x:c>
      <x:c r="E36" s="26" t="n">
        <x:f>E34-E35</x:f>
        <x:v>1313913.3416254749</x:v>
      </x:c>
      <x:c r="F36" s="26" t="n">
        <x:f>F34-F35</x:f>
        <x:v>1356952.5477978666</x:v>
      </x:c>
      <x:c r="G36" s="26" t="n">
        <x:f>G34-G35</x:f>
        <x:v>1398009.9425913019</x:v>
      </x:c>
      <x:c r="H36" s="26" t="n">
        <x:f>H34-H35</x:f>
        <x:v>1436815.3709687456</x:v>
      </x:c>
      <x:c r="I36" s="10"/>
    </x:row>
    <x:row r="37" ht="19" customHeight="1">
      <x:c r="A37" t="str">
        <x:v>D&amp;A / revenue</x:v>
      </x:c>
      <x:c r="B37" s="38" t="n">
        <x:f>'02 Historical &amp; TTM'!F20/'02 Historical &amp; TTM'!F6-'02 Historical &amp; TTM'!F7/'02 Historical &amp; TTM'!F6</x:f>
        <x:v>0.29752870922600616</x:v>
      </x:c>
      <x:c r="C37" s="38" t="n">
        <x:f>'03 Forecast Assumptions'!C13</x:f>
        <x:v>0.0345</x:v>
      </x:c>
      <x:c r="D37" s="38" t="n">
        <x:f>'03 Forecast Assumptions'!C13</x:f>
        <x:v>0.0345</x:v>
      </x:c>
      <x:c r="E37" s="38" t="n">
        <x:f>'03 Forecast Assumptions'!C13</x:f>
        <x:v>0.0345</x:v>
      </x:c>
      <x:c r="F37" s="38" t="n">
        <x:f>'03 Forecast Assumptions'!C13</x:f>
        <x:v>0.0345</x:v>
      </x:c>
      <x:c r="G37" s="38" t="n">
        <x:f>'03 Forecast Assumptions'!C13</x:f>
        <x:v>0.0345</x:v>
      </x:c>
      <x:c r="H37" s="38" t="n">
        <x:f>'03 Forecast Assumptions'!C13</x:f>
        <x:v>0.0345</x:v>
      </x:c>
      <x:c r="I37" s="10"/>
    </x:row>
    <x:row r="38" ht="19" customHeight="1">
      <x:c r="A38" t="str">
        <x:v>D&amp;A</x:v>
      </x:c>
      <x:c r="B38" s="34" t="n">
        <x:f>'02 Historical &amp; TTM'!F20-'02 Historical &amp; TTM'!F7</x:f>
        <x:v>1588443</x:v>
      </x:c>
      <x:c r="C38" s="26" t="n">
        <x:f>C31*C37</x:f>
        <x:v>190911.09054825</x:v>
      </x:c>
      <x:c r="D38" s="26" t="n">
        <x:f>D31*D37</x:f>
        <x:v>198547.53417018</x:v>
      </x:c>
      <x:c r="E38" s="26" t="n">
        <x:f>E31*E37</x:f>
        <x:v>205993.06670156177</x:v>
      </x:c>
      <x:c r="F38" s="26" t="n">
        <x:f>F31*F37</x:f>
        <x:v>213202.82403611642</x:v>
      </x:c>
      <x:c r="G38" s="26" t="n">
        <x:f>G31*G37</x:f>
        <x:v>220131.9158172902</x:v>
      </x:c>
      <x:c r="H38" s="26" t="n">
        <x:f>H31*H37</x:f>
        <x:v>226735.8732918089</x:v>
      </x:c>
      <x:c r="I38" s="10"/>
    </x:row>
    <x:row r="39" ht="19" customHeight="1">
      <x:c r="A39" t="str">
        <x:v>CapEx / revenue</x:v>
      </x:c>
      <x:c r="B39" s="38" t="n">
        <x:f>'02 Historical &amp; TTM'!F25/'02 Historical &amp; TTM'!F6</x:f>
        <x:v>0.045287049179130325</x:v>
      </x:c>
      <x:c r="C39" s="38" t="n">
        <x:f>'03 Forecast Assumptions'!C14</x:f>
        <x:v>0.0455</x:v>
      </x:c>
      <x:c r="D39" s="38" t="n">
        <x:f>'03 Forecast Assumptions'!C14</x:f>
        <x:v>0.0455</x:v>
      </x:c>
      <x:c r="E39" s="38" t="n">
        <x:f>'03 Forecast Assumptions'!C14</x:f>
        <x:v>0.0455</x:v>
      </x:c>
      <x:c r="F39" s="38" t="n">
        <x:f>'03 Forecast Assumptions'!C14</x:f>
        <x:v>0.0455</x:v>
      </x:c>
      <x:c r="G39" s="38" t="n">
        <x:f>'03 Forecast Assumptions'!C14</x:f>
        <x:v>0.0455</x:v>
      </x:c>
      <x:c r="H39" s="38" t="n">
        <x:f>'03 Forecast Assumptions'!C14</x:f>
        <x:v>0.0455</x:v>
      </x:c>
      <x:c r="I39" s="10"/>
    </x:row>
    <x:row r="40" ht="19" customHeight="1">
      <x:c r="A40" t="str">
        <x:v>CapEx</x:v>
      </x:c>
      <x:c r="B40" s="34" t="n">
        <x:f>'02 Historical &amp; TTM'!F25</x:f>
        <x:v>241778</x:v>
      </x:c>
      <x:c r="C40" s="26" t="n">
        <x:f>C31*C39</x:f>
        <x:v>251781.29333174997</x:v>
      </x:c>
      <x:c r="D40" s="26" t="n">
        <x:f>D31*D39</x:f>
        <x:v>261852.54506501998</x:v>
      </x:c>
      <x:c r="E40" s="26" t="n">
        <x:f>E31*E39</x:f>
        <x:v>271672.0155049582</x:v>
      </x:c>
      <x:c r="F40" s="26" t="n">
        <x:f>F31*F39</x:f>
        <x:v>281180.53604763176</x:v>
      </x:c>
      <x:c r="G40" s="26" t="n">
        <x:f>G31*G39</x:f>
        <x:v>290318.90346917976</x:v>
      </x:c>
      <x:c r="H40" s="26" t="n">
        <x:f>H31*H39</x:f>
        <x:v>299028.4705732552</x:v>
      </x:c>
      <x:c r="I40" s="10"/>
    </x:row>
    <x:row r="41" ht="19" customHeight="1">
      <x:c r="A41" t="str">
        <x:v>NWC / revenue</x:v>
      </x:c>
      <x:c r="B41" s="38" t="n">
        <x:f>'02 Historical &amp; TTM'!F23/'02 Historical &amp; TTM'!F6</x:f>
        <x:v>0.38202371361745147</x:v>
      </x:c>
      <x:c r="C41" s="38" t="n">
        <x:f>'03 Forecast Assumptions'!C15</x:f>
        <x:v>0.385</x:v>
      </x:c>
      <x:c r="D41" s="38" t="n">
        <x:f>'03 Forecast Assumptions'!C15+('03 Forecast Assumptions'!C16-'03 Forecast Assumptions'!C15)*1/5</x:f>
        <x:v>0.384</x:v>
      </x:c>
      <x:c r="E41" s="38" t="n">
        <x:f>'03 Forecast Assumptions'!C15+('03 Forecast Assumptions'!C16-'03 Forecast Assumptions'!C15)*2/5</x:f>
        <x:v>0.383</x:v>
      </x:c>
      <x:c r="F41" s="38" t="n">
        <x:f>'03 Forecast Assumptions'!C15+('03 Forecast Assumptions'!C16-'03 Forecast Assumptions'!C15)*3/5</x:f>
        <x:v>0.382</x:v>
      </x:c>
      <x:c r="G41" s="38" t="n">
        <x:f>'03 Forecast Assumptions'!C15+('03 Forecast Assumptions'!C16-'03 Forecast Assumptions'!C15)*4/5</x:f>
        <x:v>0.381</x:v>
      </x:c>
      <x:c r="H41" s="38" t="n">
        <x:f>'03 Forecast Assumptions'!C15+('03 Forecast Assumptions'!C16-'03 Forecast Assumptions'!C15)*5/5</x:f>
        <x:v>0.38</x:v>
      </x:c>
      <x:c r="I41" s="10"/>
    </x:row>
    <x:row r="42" ht="19" customHeight="1">
      <x:c r="A42" t="str">
        <x:v>Operating year-end NWC</x:v>
      </x:c>
      <x:c r="B42" s="34" t="n">
        <x:f>'02 Historical &amp; TTM'!F23</x:f>
        <x:v>2039544</x:v>
      </x:c>
      <x:c r="C42" s="26" t="n">
        <x:f>C31*C41</x:f>
        <x:v>2130457.0974224997</x:v>
      </x:c>
      <x:c r="D42" s="26" t="n">
        <x:f>D31*D41</x:f>
        <x:v>2209920.38032896</x:v>
      </x:c>
      <x:c r="E42" s="26" t="n">
        <x:f>E31*E41</x:f>
        <x:v>2286821.5810637143</x:v>
      </x:c>
      <x:c r="F42" s="26" t="n">
        <x:f>F31*F41</x:f>
        <x:v>2360680.5443998976</x:v>
      </x:c>
      <x:c r="G42" s="26" t="n">
        <x:f>G31*G41</x:f>
        <x:v>2431022.0268518133</x:v>
      </x:c>
      <x:c r="H42" s="26" t="n">
        <x:f>H31*H41</x:f>
        <x:v>2497380.6333590546</x:v>
      </x:c>
      <x:c r="I42" s="10"/>
    </x:row>
    <x:row r="43" ht="19" customHeight="1">
      <x:c r="A43" t="str">
        <x:v>Δ operating NWC</x:v>
      </x:c>
      <x:c r="B43" s="34" t="n">
        <x:f>'02 Historical &amp; TTM'!F24</x:f>
        <x:v>308908</x:v>
      </x:c>
      <x:c r="C43" s="26" t="n">
        <x:f>C42-B42</x:f>
        <x:v>90913.09742249968</x:v>
      </x:c>
      <x:c r="D43" s="26" t="n">
        <x:f>D42-C42</x:f>
        <x:v>79463.28290646011</x:v>
      </x:c>
      <x:c r="E43" s="26" t="n">
        <x:f>E42-D42</x:f>
        <x:v>76901.20073475456</x:v>
      </x:c>
      <x:c r="F43" s="26" t="n">
        <x:f>F42-E42</x:f>
        <x:v>73858.96333618322</x:v>
      </x:c>
      <x:c r="G43" s="26" t="n">
        <x:f>G42-F42</x:f>
        <x:v>70341.48245191574</x:v>
      </x:c>
      <x:c r="H43" s="26" t="n">
        <x:f>H42-G42</x:f>
        <x:v>66358.60650724126</x:v>
      </x:c>
      <x:c r="I43" s="10"/>
    </x:row>
    <x:row r="44" ht="19" customHeight="1">
      <x:c r="A44" t="str">
        <x:v>FCFF</x:v>
      </x:c>
      <x:c r="B44" s="26" t="n">
        <x:f>B36+B38-B40-B43</x:f>
        <x:v>1416019</x:v>
      </x:c>
      <x:c r="C44" s="26" t="n">
        <x:f>C36+C38-C40-C43</x:f>
        <x:v>1071209.7468104854</x:v>
      </x:c>
      <x:c r="D44" s="26" t="n">
        <x:f>D36+D38-D40-D43</x:f>
        <x:v>1126399.3396234047</x:v>
      </x:c>
      <x:c r="E44" s="26" t="n">
        <x:f>E36+E38-E40-E43</x:f>
        <x:v>1171333.1920873239</x:v>
      </x:c>
      <x:c r="F44" s="26" t="n">
        <x:f>F36+F38-F40-F43</x:f>
        <x:v>1215115.8724501682</x:v>
      </x:c>
      <x:c r="G44" s="26" t="n">
        <x:f>G36+G38-G40-G43</x:f>
        <x:v>1257481.4724874967</x:v>
      </x:c>
      <x:c r="H44" s="26" t="n">
        <x:f>H36+H38-H40-H43</x:f>
        <x:v>1298164.167180058</x:v>
      </x:c>
      <x:c r="I44" s="10"/>
    </x:row>
    <x:row r="45" ht="19" customHeight="1">
      <x:c r="A45" t="str">
        <x:v>FCFF margin</x:v>
      </x:c>
      <x:c r="B45" s="28" t="n">
        <x:f>B44/B31</x:f>
        <x:v>0.2652322464888573</x:v>
      </x:c>
      <x:c r="C45" s="28" t="n">
        <x:f>C44/C31</x:f>
        <x:v>0.1935808766207926</x:v>
      </x:c>
      <x:c r="D45" s="28" t="n">
        <x:f>D44/D31</x:f>
        <x:v>0.19572530769230773</x:v>
      </x:c>
      <x:c r="E45" s="28" t="n">
        <x:f>E44/E31</x:f>
        <x:v>0.1961764819277109</x:v>
      </x:c>
      <x:c r="F45" s="28" t="n">
        <x:f>F44/F31</x:f>
        <x:v>0.19662730917874396</x:v>
      </x:c>
      <x:c r="G45" s="28" t="n">
        <x:f>G44/G31</x:f>
        <x:v>0.19707778692493952</x:v>
      </x:c>
      <x:c r="H45" s="28" t="n">
        <x:f>H44/H31</x:f>
        <x:v>0.19752791262135924</x:v>
      </x:c>
      <x:c r="I45" s="10"/>
    </x:row>
    <x:row r="46" ht="19" customHeight="1">
      <x:c r="A46" t="str">
        <x:v>Reinvestment = capex-D&amp;A+ΔNWC</x:v>
      </x:c>
      <x:c r="B46" s="26" t="n">
        <x:f>B40-B38+B43</x:f>
        <x:v>-1037757</x:v>
      </x:c>
      <x:c r="C46" s="26" t="n">
        <x:f>C40-C38+C43</x:f>
        <x:v>151783.30020599964</x:v>
      </x:c>
      <x:c r="D46" s="26" t="n">
        <x:f>D40-D38+D43</x:f>
        <x:v>142768.29380130008</x:v>
      </x:c>
      <x:c r="E46" s="26" t="n">
        <x:f>E40-E38+E43</x:f>
        <x:v>142580.14953815102</x:v>
      </x:c>
      <x:c r="F46" s="26" t="n">
        <x:f>F40-F38+F43</x:f>
        <x:v>141836.67534769856</x:v>
      </x:c>
      <x:c r="G46" s="26" t="n">
        <x:f>G40-G38+G43</x:f>
        <x:v>140528.4701038053</x:v>
      </x:c>
      <x:c r="H46" s="26" t="n">
        <x:f>H40-H38+H43</x:f>
        <x:v>138651.20378868756</x:v>
      </x:c>
      <x:c r="I46" s="10"/>
    </x:row>
    <x:row r="47" ht="19" customHeight="1">
      <x:c r="B47" s="10"/>
      <x:c r="C47" s="10"/>
      <x:c r="D47" s="10"/>
      <x:c r="E47" s="10"/>
      <x:c r="F47" s="10"/>
      <x:c r="G47" s="10"/>
      <x:c r="H47" s="10"/>
      <x:c r="I47" s="10"/>
    </x:row>
    <x:row r="48" ht="19" customHeight="1">
      <x:c r="B48" s="10"/>
      <x:c r="C48" s="10"/>
      <x:c r="D48" s="10"/>
      <x:c r="E48" s="10"/>
      <x:c r="F48" s="10"/>
      <x:c r="G48" s="10"/>
      <x:c r="H48" s="10"/>
      <x:c r="I48" s="10"/>
    </x:row>
    <x:row r="49" ht="19" customHeight="1">
      <x:c r="B49" s="10"/>
      <x:c r="C49" s="10"/>
      <x:c r="D49" s="10"/>
      <x:c r="E49" s="10"/>
      <x:c r="F49" s="10"/>
      <x:c r="G49" s="10"/>
      <x:c r="H49" s="10"/>
      <x:c r="I49" s="10"/>
    </x:row>
    <x:row r="50" ht="19" customHeight="1">
      <x:c r="B50" s="10"/>
      <x:c r="C50" s="10"/>
      <x:c r="D50" s="10"/>
      <x:c r="E50" s="10"/>
      <x:c r="F50" s="10"/>
      <x:c r="G50" s="10"/>
      <x:c r="H50" s="10"/>
      <x:c r="I50" s="10"/>
    </x:row>
    <x:row r="51" ht="19" customHeight="1">
      <x:c r="B51" s="10"/>
      <x:c r="C51" s="10"/>
      <x:c r="D51" s="10"/>
      <x:c r="E51" s="10"/>
      <x:c r="F51" s="10"/>
      <x:c r="G51" s="10"/>
      <x:c r="H51" s="10"/>
      <x:c r="I51" s="10"/>
    </x:row>
    <x:row r="52" ht="19" customHeight="1">
      <x:c r="A52" s="14" t="str">
        <x:v>BULL — FINANCIAL FORECAST (Rp million)</x:v>
      </x:c>
      <x:c r="B52" s="15"/>
      <x:c r="C52" s="15"/>
      <x:c r="D52" s="15"/>
      <x:c r="E52" s="15"/>
      <x:c r="F52" s="15"/>
      <x:c r="G52" s="15"/>
      <x:c r="H52" s="15"/>
      <x:c r="I52" s="15"/>
    </x:row>
    <x:row r="53" ht="19" customHeight="1">
      <x:c r="B53" s="10" t="str">
        <x:v>FY2025 actual</x:v>
      </x:c>
      <x:c r="C53" s="10" t="str">
        <x:v>FY2026 Est</x:v>
      </x:c>
      <x:c r="D53" s="10" t="str">
        <x:v>FY2027</x:v>
      </x:c>
      <x:c r="E53" s="10" t="str">
        <x:v>FY2028</x:v>
      </x:c>
      <x:c r="F53" s="10" t="str">
        <x:v>FY2029</x:v>
      </x:c>
      <x:c r="G53" s="10" t="str">
        <x:v>FY2030</x:v>
      </x:c>
      <x:c r="H53" s="10" t="str">
        <x:v>FY2031</x:v>
      </x:c>
      <x:c r="I53" s="10"/>
    </x:row>
    <x:row r="54" ht="19" customHeight="1">
      <x:c r="A54" t="str">
        <x:v>Revenue</x:v>
      </x:c>
      <x:c r="B54" s="34" t="n">
        <x:f>'02 Historical &amp; TTM'!F6</x:f>
        <x:v>5338789</x:v>
      </x:c>
      <x:c r="C54" s="26" t="n">
        <x:f>B54*(1+C55)</x:f>
        <x:v>5632422.395</x:v>
      </x:c>
      <x:c r="D54" s="26" t="n">
        <x:f>C54*(1+D55)</x:f>
        <x:v>5998529.850674999</x:v>
      </x:c>
      <x:c r="E54" s="26" t="n">
        <x:f>D54*(1+E55)</x:f>
        <x:v>6373437.966342187</x:v>
      </x:c>
      <x:c r="F54" s="26" t="n">
        <x:f>E54*(1+F55)</x:f>
        <x:v>6755844.244322718</x:v>
      </x:c>
      <x:c r="G54" s="26" t="n">
        <x:f>F54*(1+G55)</x:f>
        <x:v>7144305.288371275</x:v>
      </x:c>
      <x:c r="H54" s="26" t="n">
        <x:f>G54*(1+H55)</x:f>
        <x:v>7537242.079231695</x:v>
      </x:c>
      <x:c r="I54" s="10"/>
    </x:row>
    <x:row r="55" ht="19" customHeight="1">
      <x:c r="A55" t="str">
        <x:v>Revenue growth</x:v>
      </x:c>
      <x:c r="B55" s="38" t="n">
        <x:f>'02 Historical &amp; TTM'!F6/'02 Historical &amp; TTM'!E6-1</x:f>
        <x:v>0.0336504365453143</x:v>
      </x:c>
      <x:c r="C55" s="38" t="n">
        <x:f>'03 Forecast Assumptions'!D7</x:f>
        <x:v>0.055</x:v>
      </x:c>
      <x:c r="D55" s="38" t="n">
        <x:f>MAX('03 Forecast Assumptions'!D17,'03 Forecast Assumptions'!D8-0*'03 Forecast Assumptions'!D9)</x:f>
        <x:v>0.065</x:v>
      </x:c>
      <x:c r="E55" s="38" t="n">
        <x:f>MAX('03 Forecast Assumptions'!D17,'03 Forecast Assumptions'!D8-1*'03 Forecast Assumptions'!D9)</x:f>
        <x:v>0.0625</x:v>
      </x:c>
      <x:c r="F55" s="38" t="n">
        <x:f>MAX('03 Forecast Assumptions'!D17,'03 Forecast Assumptions'!D8-2*'03 Forecast Assumptions'!D9)</x:f>
        <x:v>0.060000000000000005</x:v>
      </x:c>
      <x:c r="G55" s="38" t="n">
        <x:f>MAX('03 Forecast Assumptions'!D17,'03 Forecast Assumptions'!D8-3*'03 Forecast Assumptions'!D9)</x:f>
        <x:v>0.0575</x:v>
      </x:c>
      <x:c r="H55" s="38" t="n">
        <x:f>MAX('03 Forecast Assumptions'!D17,'03 Forecast Assumptions'!D8-4*'03 Forecast Assumptions'!D9)</x:f>
        <x:v>0.055</x:v>
      </x:c>
      <x:c r="I55" s="10"/>
    </x:row>
    <x:row r="56" ht="19" customHeight="1">
      <x:c r="A56" t="str">
        <x:v>EBIT margin</x:v>
      </x:c>
      <x:c r="B56" s="38" t="n">
        <x:f>'02 Historical &amp; TTM'!F21</x:f>
        <x:v>0.28137317283001817</x:v>
      </x:c>
      <x:c r="C56" s="38" t="n">
        <x:f>'03 Forecast Assumptions'!D10</x:f>
        <x:v>0.291</x:v>
      </x:c>
      <x:c r="D56" s="38" t="n">
        <x:f>'03 Forecast Assumptions'!D10+('03 Forecast Assumptions'!D11-'03 Forecast Assumptions'!D10)*1/5</x:f>
        <x:v>0.2918</x:v>
      </x:c>
      <x:c r="E56" s="38" t="n">
        <x:f>'03 Forecast Assumptions'!D10+('03 Forecast Assumptions'!D11-'03 Forecast Assumptions'!D10)*2/5</x:f>
        <x:v>0.29259999999999997</x:v>
      </x:c>
      <x:c r="F56" s="38" t="n">
        <x:f>'03 Forecast Assumptions'!D10+('03 Forecast Assumptions'!D11-'03 Forecast Assumptions'!D10)*3/5</x:f>
        <x:v>0.2934</x:v>
      </x:c>
      <x:c r="G56" s="38" t="n">
        <x:f>'03 Forecast Assumptions'!D10+('03 Forecast Assumptions'!D11-'03 Forecast Assumptions'!D10)*4/5</x:f>
        <x:v>0.29419999999999996</x:v>
      </x:c>
      <x:c r="H56" s="38" t="n">
        <x:f>'03 Forecast Assumptions'!D10+('03 Forecast Assumptions'!D11-'03 Forecast Assumptions'!D10)*5/5</x:f>
        <x:v>0.295</x:v>
      </x:c>
      <x:c r="I56" s="10"/>
    </x:row>
    <x:row r="57" ht="19" customHeight="1">
      <x:c r="A57" t="str">
        <x:v>Normalized EBIT</x:v>
      </x:c>
      <x:c r="B57" s="34" t="n">
        <x:f>'02 Historical &amp; TTM'!F7</x:f>
        <x:v>1502192</x:v>
      </x:c>
      <x:c r="C57" s="26" t="n">
        <x:f>C54*C56</x:f>
        <x:v>1639034.9169449997</x:v>
      </x:c>
      <x:c r="D57" s="26" t="n">
        <x:f>D54*D56</x:f>
        <x:v>1750371.0104269646</x:v>
      </x:c>
      <x:c r="E57" s="26" t="n">
        <x:f>E54*E56</x:f>
        <x:v>1864867.9489517235</x:v>
      </x:c>
      <x:c r="F57" s="26" t="n">
        <x:f>F54*F56</x:f>
        <x:v>1982164.7012842854</x:v>
      </x:c>
      <x:c r="G57" s="26" t="n">
        <x:f>G54*G56</x:f>
        <x:v>2101854.615838829</x:v>
      </x:c>
      <x:c r="H57" s="26" t="n">
        <x:f>H54*H56</x:f>
        <x:v>2223486.41337335</x:v>
      </x:c>
      <x:c r="I57" s="10"/>
    </x:row>
    <x:row r="58" ht="19" customHeight="1">
      <x:c r="A58" t="str">
        <x:v>Operating taxes</x:v>
      </x:c>
      <x:c r="B58" s="34" t="n">
        <x:f>'02 Historical &amp; TTM'!F11</x:f>
        <x:v>1123930</x:v>
      </x:c>
      <x:c r="C58" s="34" t="n">
        <x:f>C57*'03 Forecast Assumptions'!D12</x:f>
        <x:v>311416.63421954995</x:v>
      </x:c>
      <x:c r="D58" s="34" t="n">
        <x:f>D57*'03 Forecast Assumptions'!D12</x:f>
        <x:v>332570.4919811233</x:v>
      </x:c>
      <x:c r="E58" s="34" t="n">
        <x:f>E57*'03 Forecast Assumptions'!D12</x:f>
        <x:v>354324.91030082747</x:v>
      </x:c>
      <x:c r="F58" s="34" t="n">
        <x:f>F57*'03 Forecast Assumptions'!D12</x:f>
        <x:v>376611.2932440142</x:v>
      </x:c>
      <x:c r="G58" s="34" t="n">
        <x:f>G57*'03 Forecast Assumptions'!D12</x:f>
        <x:v>399352.3770093775</x:v>
      </x:c>
      <x:c r="H58" s="34" t="n">
        <x:f>H57*'03 Forecast Assumptions'!D12</x:f>
        <x:v>422462.41854093655</x:v>
      </x:c>
      <x:c r="I58" s="10"/>
    </x:row>
    <x:row r="59" ht="19" customHeight="1">
      <x:c r="A59" t="str">
        <x:v>NOPAT</x:v>
      </x:c>
      <x:c r="B59" s="26" t="n">
        <x:f>B57-B58</x:f>
        <x:v>378262</x:v>
      </x:c>
      <x:c r="C59" s="26" t="n">
        <x:f>C57-C58</x:f>
        <x:v>1327618.2827254497</x:v>
      </x:c>
      <x:c r="D59" s="26" t="n">
        <x:f>D57-D58</x:f>
        <x:v>1417800.5184458413</x:v>
      </x:c>
      <x:c r="E59" s="26" t="n">
        <x:f>E57-E58</x:f>
        <x:v>1510543.038650896</x:v>
      </x:c>
      <x:c r="F59" s="26" t="n">
        <x:f>F57-F58</x:f>
        <x:v>1605553.4080402711</x:v>
      </x:c>
      <x:c r="G59" s="26" t="n">
        <x:f>G57-G58</x:f>
        <x:v>1702502.2388294514</x:v>
      </x:c>
      <x:c r="H59" s="26" t="n">
        <x:f>H57-H58</x:f>
        <x:v>1801023.9948324137</x:v>
      </x:c>
      <x:c r="I59" s="10"/>
    </x:row>
    <x:row r="60" ht="19" customHeight="1">
      <x:c r="A60" t="str">
        <x:v>D&amp;A / revenue</x:v>
      </x:c>
      <x:c r="B60" s="38" t="n">
        <x:f>'02 Historical &amp; TTM'!F20/'02 Historical &amp; TTM'!F6-'02 Historical &amp; TTM'!F7/'02 Historical &amp; TTM'!F6</x:f>
        <x:v>0.29752870922600616</x:v>
      </x:c>
      <x:c r="C60" s="38" t="n">
        <x:f>'03 Forecast Assumptions'!D13</x:f>
        <x:v>0.033</x:v>
      </x:c>
      <x:c r="D60" s="38" t="n">
        <x:f>'03 Forecast Assumptions'!D13</x:f>
        <x:v>0.033</x:v>
      </x:c>
      <x:c r="E60" s="38" t="n">
        <x:f>'03 Forecast Assumptions'!D13</x:f>
        <x:v>0.033</x:v>
      </x:c>
      <x:c r="F60" s="38" t="n">
        <x:f>'03 Forecast Assumptions'!D13</x:f>
        <x:v>0.033</x:v>
      </x:c>
      <x:c r="G60" s="38" t="n">
        <x:f>'03 Forecast Assumptions'!D13</x:f>
        <x:v>0.033</x:v>
      </x:c>
      <x:c r="H60" s="38" t="n">
        <x:f>'03 Forecast Assumptions'!D13</x:f>
        <x:v>0.033</x:v>
      </x:c>
      <x:c r="I60" s="10"/>
    </x:row>
    <x:row r="61" ht="19" customHeight="1">
      <x:c r="A61" t="str">
        <x:v>D&amp;A</x:v>
      </x:c>
      <x:c r="B61" s="34" t="n">
        <x:f>'02 Historical &amp; TTM'!F20-'02 Historical &amp; TTM'!F7</x:f>
        <x:v>1588443</x:v>
      </x:c>
      <x:c r="C61" s="26" t="n">
        <x:f>C54*C60</x:f>
        <x:v>185869.939035</x:v>
      </x:c>
      <x:c r="D61" s="26" t="n">
        <x:f>D54*D60</x:f>
        <x:v>197951.48507227498</x:v>
      </x:c>
      <x:c r="E61" s="26" t="n">
        <x:f>E54*E60</x:f>
        <x:v>210323.45288929218</x:v>
      </x:c>
      <x:c r="F61" s="26" t="n">
        <x:f>F54*F60</x:f>
        <x:v>222942.8600626497</x:v>
      </x:c>
      <x:c r="G61" s="26" t="n">
        <x:f>G54*G60</x:f>
        <x:v>235762.0745162521</x:v>
      </x:c>
      <x:c r="H61" s="26" t="n">
        <x:f>H54*H60</x:f>
        <x:v>248728.98861464596</x:v>
      </x:c>
      <x:c r="I61" s="10"/>
    </x:row>
    <x:row r="62" ht="19" customHeight="1">
      <x:c r="A62" t="str">
        <x:v>CapEx / revenue</x:v>
      </x:c>
      <x:c r="B62" s="38" t="n">
        <x:f>'02 Historical &amp; TTM'!F25/'02 Historical &amp; TTM'!F6</x:f>
        <x:v>0.045287049179130325</x:v>
      </x:c>
      <x:c r="C62" s="38" t="n">
        <x:f>'03 Forecast Assumptions'!D14</x:f>
        <x:v>0.043</x:v>
      </x:c>
      <x:c r="D62" s="38" t="n">
        <x:f>'03 Forecast Assumptions'!D14</x:f>
        <x:v>0.043</x:v>
      </x:c>
      <x:c r="E62" s="38" t="n">
        <x:f>'03 Forecast Assumptions'!D14</x:f>
        <x:v>0.043</x:v>
      </x:c>
      <x:c r="F62" s="38" t="n">
        <x:f>'03 Forecast Assumptions'!D14</x:f>
        <x:v>0.043</x:v>
      </x:c>
      <x:c r="G62" s="38" t="n">
        <x:f>'03 Forecast Assumptions'!D14</x:f>
        <x:v>0.043</x:v>
      </x:c>
      <x:c r="H62" s="38" t="n">
        <x:f>'03 Forecast Assumptions'!D14</x:f>
        <x:v>0.043</x:v>
      </x:c>
      <x:c r="I62" s="10"/>
    </x:row>
    <x:row r="63" ht="19" customHeight="1">
      <x:c r="A63" t="str">
        <x:v>CapEx</x:v>
      </x:c>
      <x:c r="B63" s="34" t="n">
        <x:f>'02 Historical &amp; TTM'!F25</x:f>
        <x:v>241778</x:v>
      </x:c>
      <x:c r="C63" s="26" t="n">
        <x:f>C54*C62</x:f>
        <x:v>242194.16298499997</x:v>
      </x:c>
      <x:c r="D63" s="26" t="n">
        <x:f>D54*D62</x:f>
        <x:v>257936.78357902492</x:v>
      </x:c>
      <x:c r="E63" s="26" t="n">
        <x:f>E54*E62</x:f>
        <x:v>274057.832552714</x:v>
      </x:c>
      <x:c r="F63" s="26" t="n">
        <x:f>F54*F62</x:f>
        <x:v>290501.30250587687</x:v>
      </x:c>
      <x:c r="G63" s="26" t="n">
        <x:f>G54*G62</x:f>
        <x:v>307205.1273999648</x:v>
      </x:c>
      <x:c r="H63" s="26" t="n">
        <x:f>H54*H62</x:f>
        <x:v>324101.40940696286</x:v>
      </x:c>
      <x:c r="I63" s="10"/>
    </x:row>
    <x:row r="64" ht="19" customHeight="1">
      <x:c r="A64" t="str">
        <x:v>NWC / revenue</x:v>
      </x:c>
      <x:c r="B64" s="38" t="n">
        <x:f>'02 Historical &amp; TTM'!F23/'02 Historical &amp; TTM'!F6</x:f>
        <x:v>0.38202371361745147</x:v>
      </x:c>
      <x:c r="C64" s="38" t="n">
        <x:f>'03 Forecast Assumptions'!D15</x:f>
        <x:v>0.375</x:v>
      </x:c>
      <x:c r="D64" s="38" t="n">
        <x:f>'03 Forecast Assumptions'!D15+('03 Forecast Assumptions'!D16-'03 Forecast Assumptions'!D15)*1/5</x:f>
        <x:v>0.372</x:v>
      </x:c>
      <x:c r="E64" s="38" t="n">
        <x:f>'03 Forecast Assumptions'!D15+('03 Forecast Assumptions'!D16-'03 Forecast Assumptions'!D15)*2/5</x:f>
        <x:v>0.369</x:v>
      </x:c>
      <x:c r="F64" s="38" t="n">
        <x:f>'03 Forecast Assumptions'!D15+('03 Forecast Assumptions'!D16-'03 Forecast Assumptions'!D15)*3/5</x:f>
        <x:v>0.366</x:v>
      </x:c>
      <x:c r="G64" s="38" t="n">
        <x:f>'03 Forecast Assumptions'!D15+('03 Forecast Assumptions'!D16-'03 Forecast Assumptions'!D15)*4/5</x:f>
        <x:v>0.363</x:v>
      </x:c>
      <x:c r="H64" s="38" t="n">
        <x:f>'03 Forecast Assumptions'!D15+('03 Forecast Assumptions'!D16-'03 Forecast Assumptions'!D15)*5/5</x:f>
        <x:v>0.36</x:v>
      </x:c>
      <x:c r="I64" s="10"/>
    </x:row>
    <x:row r="65" ht="19" customHeight="1">
      <x:c r="A65" t="str">
        <x:v>Operating year-end NWC</x:v>
      </x:c>
      <x:c r="B65" s="34" t="n">
        <x:f>'02 Historical &amp; TTM'!F23</x:f>
        <x:v>2039544</x:v>
      </x:c>
      <x:c r="C65" s="26" t="n">
        <x:f>C54*C64</x:f>
        <x:v>2112158.398125</x:v>
      </x:c>
      <x:c r="D65" s="26" t="n">
        <x:f>D54*D64</x:f>
        <x:v>2231453.1044510994</x:v>
      </x:c>
      <x:c r="E65" s="26" t="n">
        <x:f>E54*E64</x:f>
        <x:v>2351798.6095802668</x:v>
      </x:c>
      <x:c r="F65" s="26" t="n">
        <x:f>F54*F64</x:f>
        <x:v>2472638.9934221148</x:v>
      </x:c>
      <x:c r="G65" s="26" t="n">
        <x:f>G54*G64</x:f>
        <x:v>2593382.8196787727</x:v>
      </x:c>
      <x:c r="H65" s="26" t="n">
        <x:f>H54*H64</x:f>
        <x:v>2713407.1485234103</x:v>
      </x:c>
      <x:c r="I65" s="10"/>
    </x:row>
    <x:row r="66" ht="19" customHeight="1">
      <x:c r="A66" t="str">
        <x:v>Δ operating NWC</x:v>
      </x:c>
      <x:c r="B66" s="34" t="n">
        <x:f>'02 Historical &amp; TTM'!F24</x:f>
        <x:v>308908</x:v>
      </x:c>
      <x:c r="C66" s="26" t="n">
        <x:f>C65-B65</x:f>
        <x:v>72614.39812499983</x:v>
      </x:c>
      <x:c r="D66" s="26" t="n">
        <x:f>D65-C65</x:f>
        <x:v>119294.70632609958</x:v>
      </x:c>
      <x:c r="E66" s="26" t="n">
        <x:f>E65-D65</x:f>
        <x:v>120345.50512916734</x:v>
      </x:c>
      <x:c r="F66" s="26" t="n">
        <x:f>F65-E65</x:f>
        <x:v>120840.383841848</x:v>
      </x:c>
      <x:c r="G66" s="26" t="n">
        <x:f>G65-F65</x:f>
        <x:v>120743.82625665795</x:v>
      </x:c>
      <x:c r="H66" s="26" t="n">
        <x:f>H65-G65</x:f>
        <x:v>120024.32884463761</x:v>
      </x:c>
      <x:c r="I66" s="10"/>
    </x:row>
    <x:row r="67" ht="19" customHeight="1">
      <x:c r="A67" t="str">
        <x:v>FCFF</x:v>
      </x:c>
      <x:c r="B67" s="26" t="n">
        <x:f>B59+B61-B63-B66</x:f>
        <x:v>1416019</x:v>
      </x:c>
      <x:c r="C67" s="26" t="n">
        <x:f>C59+C61-C63-C66</x:f>
        <x:v>1198679.6606504498</x:v>
      </x:c>
      <x:c r="D67" s="26" t="n">
        <x:f>D59+D61-D63-D66</x:f>
        <x:v>1238520.5136129917</x:v>
      </x:c>
      <x:c r="E67" s="26" t="n">
        <x:f>E59+E61-E63-E66</x:f>
        <x:v>1326463.1538583068</x:v>
      </x:c>
      <x:c r="F67" s="26" t="n">
        <x:f>F59+F61-F63-F66</x:f>
        <x:v>1417154.581755196</x:v>
      </x:c>
      <x:c r="G67" s="26" t="n">
        <x:f>G59+G61-G63-G66</x:f>
        <x:v>1510315.3596890809</x:v>
      </x:c>
      <x:c r="H67" s="26" t="n">
        <x:f>H59+H61-H63-H66</x:f>
        <x:v>1605627.2451954593</x:v>
      </x:c>
      <x:c r="I67" s="10"/>
    </x:row>
    <x:row r="68" ht="19" customHeight="1">
      <x:c r="A68" t="str">
        <x:v>FCFF margin</x:v>
      </x:c>
      <x:c r="B68" s="28" t="n">
        <x:f>B67/B54</x:f>
        <x:v>0.2652322464888573</x:v>
      </x:c>
      <x:c r="C68" s="28" t="n">
        <x:f>C67/C54</x:f>
        <x:v>0.21281778541938523</x:v>
      </x:c>
      <x:c r="D68" s="28" t="n">
        <x:f>D67/D54</x:f>
        <x:v>0.20647067605633806</x:v>
      </x:c>
      <x:c r="E68" s="28" t="n">
        <x:f>E67/E54</x:f>
        <x:v>0.20812364705882347</x:v>
      </x:c>
      <x:c r="F68" s="28" t="n">
        <x:f>F67/F54</x:f>
        <x:v>0.20976720754716977</x:v>
      </x:c>
      <x:c r="G68" s="28" t="n">
        <x:f>G67/G54</x:f>
        <x:v>0.2114012907801418</x:v>
      </x:c>
      <x:c r="H68" s="28" t="n">
        <x:f>H67/H54</x:f>
        <x:v>0.21302582938388628</x:v>
      </x:c>
      <x:c r="I68" s="10"/>
    </x:row>
    <x:row r="69" ht="19" customHeight="1">
      <x:c r="A69" t="str">
        <x:v>Reinvestment = capex-D&amp;A+ΔNWC</x:v>
      </x:c>
      <x:c r="B69" s="26" t="n">
        <x:f>B63-B61+B66</x:f>
        <x:v>-1037757</x:v>
      </x:c>
      <x:c r="C69" s="26" t="n">
        <x:f>C63-C61+C66</x:f>
        <x:v>128938.62207499982</x:v>
      </x:c>
      <x:c r="D69" s="26" t="n">
        <x:f>D63-D61+D66</x:f>
        <x:v>179280.00483284952</x:v>
      </x:c>
      <x:c r="E69" s="26" t="n">
        <x:f>E63-E61+E66</x:f>
        <x:v>184079.88479258915</x:v>
      </x:c>
      <x:c r="F69" s="26" t="n">
        <x:f>F63-F61+F66</x:f>
        <x:v>188398.82628507516</x:v>
      </x:c>
      <x:c r="G69" s="26" t="n">
        <x:f>G63-G61+G66</x:f>
        <x:v>192186.87914037064</x:v>
      </x:c>
      <x:c r="H69" s="26" t="n">
        <x:f>H63-H61+H66</x:f>
        <x:v>195396.7496369545</x:v>
      </x:c>
      <x:c r="I69" s="10"/>
    </x:row>
    <x:row r="70" ht="19" customHeight="1">
      <x:c r="B70" s="10"/>
      <x:c r="C70" s="10"/>
      <x:c r="D70" s="10"/>
      <x:c r="E70" s="10"/>
      <x:c r="F70" s="10"/>
      <x:c r="G70" s="10"/>
      <x:c r="H70" s="10"/>
      <x:c r="I70" s="10"/>
    </x:row>
    <x:row r="71" ht="19" customHeight="1">
      <x:c r="B71" s="10"/>
      <x:c r="C71" s="10"/>
      <x:c r="D71" s="10"/>
      <x:c r="E71" s="10"/>
      <x:c r="F71" s="10"/>
      <x:c r="G71" s="10"/>
      <x:c r="H71" s="10"/>
      <x:c r="I71" s="10"/>
    </x:row>
    <x:row r="72" ht="19" customHeight="1">
      <x:c r="B72" s="10"/>
      <x:c r="C72" s="10"/>
      <x:c r="D72" s="10"/>
      <x:c r="E72" s="10"/>
      <x:c r="F72" s="10"/>
      <x:c r="G72" s="10"/>
      <x:c r="H72" s="10"/>
      <x:c r="I72" s="10"/>
    </x:row>
    <x:row r="73" ht="19" customHeight="1">
      <x:c r="B73" s="10"/>
      <x:c r="C73" s="10"/>
      <x:c r="D73" s="10"/>
      <x:c r="E73" s="10"/>
      <x:c r="F73" s="10"/>
      <x:c r="G73" s="10"/>
      <x:c r="H73" s="10"/>
      <x:c r="I73" s="10"/>
    </x:row>
    <x:row r="74" ht="19" customHeight="1">
      <x:c r="B74" s="10"/>
      <x:c r="C74" s="10"/>
      <x:c r="D74" s="10"/>
      <x:c r="E74" s="10"/>
      <x:c r="F74" s="10"/>
      <x:c r="G74" s="10"/>
      <x:c r="H74" s="10"/>
      <x:c r="I74" s="10"/>
    </x:row>
    <x:row r="75" ht="19" customHeight="1">
      <x:c r="B75" s="10"/>
      <x:c r="C75" s="10"/>
      <x:c r="D75" s="10"/>
      <x:c r="E75" s="10"/>
      <x:c r="F75" s="10"/>
      <x:c r="G75" s="10"/>
      <x:c r="H75" s="10"/>
      <x:c r="I75" s="10"/>
    </x:row>
    <x:row r="76" ht="19" customHeight="1">
      <x:c r="B76" s="10"/>
      <x:c r="C76" s="10"/>
      <x:c r="D76" s="10"/>
      <x:c r="E76" s="10"/>
      <x:c r="F76" s="10"/>
      <x:c r="G76" s="10"/>
      <x:c r="H76" s="10"/>
      <x:c r="I76" s="10"/>
    </x:row>
    <x:row r="77" ht="19" customHeight="1">
      <x:c r="B77" s="10"/>
      <x:c r="C77" s="10"/>
      <x:c r="D77" s="10"/>
      <x:c r="E77" s="10"/>
      <x:c r="F77" s="10"/>
      <x:c r="G77" s="10"/>
      <x:c r="H77" s="10"/>
      <x:c r="I77" s="10"/>
    </x:row>
    <x:row r="78" ht="19" customHeight="1">
      <x:c r="B78" s="10"/>
      <x:c r="C78" s="10"/>
      <x:c r="D78" s="10"/>
      <x:c r="E78" s="10"/>
      <x:c r="F78" s="10"/>
      <x:c r="G78" s="10"/>
      <x:c r="H78" s="10"/>
      <x:c r="I78" s="10"/>
    </x:row>
    <x:row r="79" ht="19" customHeight="1">
      <x:c r="B79" s="10"/>
      <x:c r="C79" s="10"/>
      <x:c r="D79" s="10"/>
      <x:c r="E79" s="10"/>
      <x:c r="F79" s="10"/>
      <x:c r="G79" s="10"/>
      <x:c r="H79" s="10"/>
      <x:c r="I79" s="10"/>
    </x:row>
    <x:row r="80" ht="19" customHeight="1">
      <x:c r="B80" s="10"/>
      <x:c r="C80" s="10"/>
      <x:c r="D80" s="10"/>
      <x:c r="E80" s="10"/>
      <x:c r="F80" s="10"/>
      <x:c r="G80" s="10"/>
      <x:c r="H80" s="10"/>
      <x:c r="I80" s="10"/>
    </x:row>
    <x:row r="81" ht="19" customHeight="1">
      <x:c r="B81" s="10"/>
      <x:c r="C81" s="10"/>
      <x:c r="D81" s="10"/>
      <x:c r="E81" s="10"/>
      <x:c r="F81" s="10"/>
      <x:c r="G81" s="10"/>
      <x:c r="H81" s="10"/>
      <x:c r="I81" s="10"/>
    </x:row>
    <x:row r="82" ht="19" customHeight="1">
      <x:c r="B82" s="10"/>
      <x:c r="C82" s="10"/>
      <x:c r="D82" s="10"/>
      <x:c r="E82" s="10"/>
      <x:c r="F82" s="10"/>
      <x:c r="G82" s="10"/>
      <x:c r="H82" s="10"/>
      <x:c r="I82" s="10"/>
    </x:row>
    <x:row r="83" ht="19" customHeight="1">
      <x:c r="B83" s="10"/>
      <x:c r="C83" s="10"/>
      <x:c r="D83" s="10"/>
      <x:c r="E83" s="10"/>
      <x:c r="F83" s="10"/>
      <x:c r="G83" s="10"/>
      <x:c r="H83" s="10"/>
      <x:c r="I83" s="10"/>
    </x:row>
    <x:row r="84" ht="19" customHeight="1">
      <x:c r="B84" s="10"/>
      <x:c r="C84" s="10"/>
      <x:c r="D84" s="10"/>
      <x:c r="E84" s="10"/>
      <x:c r="F84" s="10"/>
      <x:c r="G84" s="10"/>
      <x:c r="H84" s="10"/>
      <x:c r="I84" s="10"/>
    </x:row>
    <x:row r="85" ht="19" customHeight="1">
      <x:c r="B85" s="10"/>
      <x:c r="C85" s="10"/>
      <x:c r="D85" s="10"/>
      <x:c r="E85" s="10"/>
      <x:c r="F85" s="10"/>
      <x:c r="G85" s="10"/>
      <x:c r="H85" s="10"/>
      <x:c r="I85" s="10"/>
    </x:row>
    <x:row r="86" ht="19" customHeight="1">
      <x:c r="B86" s="10"/>
      <x:c r="C86" s="10"/>
      <x:c r="D86" s="10"/>
      <x:c r="E86" s="10"/>
      <x:c r="F86" s="10"/>
      <x:c r="G86" s="10"/>
      <x:c r="H86" s="10"/>
      <x:c r="I86" s="10"/>
    </x:row>
    <x:row r="87" ht="19" customHeight="1">
      <x:c r="B87" s="10"/>
      <x:c r="C87" s="10"/>
      <x:c r="D87" s="10"/>
      <x:c r="E87" s="10"/>
      <x:c r="F87" s="10"/>
      <x:c r="G87" s="10"/>
      <x:c r="H87" s="10"/>
      <x:c r="I87" s="10"/>
    </x:row>
    <x:row r="88" ht="19" customHeight="1">
      <x:c r="B88" s="10"/>
      <x:c r="C88" s="10"/>
      <x:c r="D88" s="10"/>
      <x:c r="E88" s="10"/>
      <x:c r="F88" s="10"/>
      <x:c r="G88" s="10"/>
      <x:c r="H88" s="10"/>
      <x:c r="I88" s="10"/>
    </x:row>
    <x:row r="89" ht="19" customHeight="1">
      <x:c r="B89" s="10"/>
      <x:c r="C89" s="10"/>
      <x:c r="D89" s="10"/>
      <x:c r="E89" s="10"/>
      <x:c r="F89" s="10"/>
      <x:c r="G89" s="10"/>
      <x:c r="H89" s="10"/>
      <x:c r="I89" s="10"/>
    </x:row>
    <x:row r="90" ht="19" customHeight="1">
      <x:c r="B90" s="10"/>
      <x:c r="C90" s="10"/>
      <x:c r="D90" s="10"/>
      <x:c r="E90" s="10"/>
      <x:c r="F90" s="10"/>
      <x:c r="G90" s="10"/>
      <x:c r="H90" s="10"/>
      <x:c r="I90" s="10"/>
    </x:row>
  </x:sheetData>
  <x:mergeCells>
    <x:mergeCell ref="A1:I2"/>
    <x:mergeCell ref="A3:I3"/>
    <x:mergeCell ref="A6:I6"/>
    <x:mergeCell ref="A29:I29"/>
    <x:mergeCell ref="A52:I5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7" customHeight="1">
      <x:c r="A1" s="3" t="str">
        <x:v>05 FCFF</x:v>
      </x:c>
      <x:c r="B1" s="3"/>
      <x:c r="C1" s="3"/>
      <x:c r="D1" s="3"/>
      <x:c r="E1" s="3"/>
      <x:c r="F1" s="3"/>
      <x:c r="G1" s="3"/>
      <x:c r="H1" s="3"/>
    </x:row>
    <x:row r="2" ht="27" customHeight="1">
      <x:c r="A2" s="3"/>
      <x:c r="B2" s="3"/>
      <x:c r="C2" s="3"/>
      <x:c r="D2" s="3"/>
      <x:c r="E2" s="3"/>
      <x:c r="F2" s="3"/>
      <x:c r="G2" s="3"/>
      <x:c r="H2" s="3"/>
    </x:row>
    <x:row r="3" ht="19" customHeight="1">
      <x:c r="A3" s="7" t="str">
        <x:v>FCFF derived independently from forecast rows; residual must equal zero</x:v>
      </x:c>
      <x:c r="B3" s="7"/>
      <x:c r="C3" s="7"/>
      <x:c r="D3" s="7"/>
      <x:c r="E3" s="7"/>
      <x:c r="F3" s="7"/>
      <x:c r="G3" s="7"/>
      <x:c r="H3" s="7"/>
    </x:row>
    <x:row r="4" ht="19" customHeight="1"/>
    <x:row r="5" ht="19" customHeight="1">
      <x:c r="B5" s="21" t="str">
        <x:v>FY25 actual</x:v>
      </x:c>
      <x:c r="C5" s="21" t="str">
        <x:v>FY26 Est</x:v>
      </x:c>
      <x:c r="D5" s="21" t="str">
        <x:v>FY27</x:v>
      </x:c>
      <x:c r="E5" s="21" t="str">
        <x:v>FY28</x:v>
      </x:c>
      <x:c r="F5" s="21" t="str">
        <x:v>FY29</x:v>
      </x:c>
      <x:c r="G5" s="21" t="str">
        <x:v>FY30</x:v>
      </x:c>
      <x:c r="H5" s="21" t="str">
        <x:v>FY31</x:v>
      </x:c>
    </x:row>
    <x:row r="6" ht="19" customHeight="1">
      <x:c r="B6" s="10"/>
      <x:c r="C6" s="10"/>
      <x:c r="D6" s="10"/>
      <x:c r="E6" s="10"/>
      <x:c r="F6" s="10"/>
      <x:c r="G6" s="10"/>
      <x:c r="H6" s="10"/>
    </x:row>
    <x:row r="7" ht="19" customHeight="1">
      <x:c r="A7" t="str">
        <x:v>Normalized EBIT</x:v>
      </x:c>
      <x:c r="B7" s="34" t="n">
        <x:f>'04 Financial Forecast'!B34</x:f>
        <x:v>1502192</x:v>
      </x:c>
      <x:c r="C7" s="34" t="n">
        <x:f>'04 Financial Forecast'!C34</x:f>
        <x:v>1538356.033983</x:v>
      </x:c>
      <x:c r="D7" s="34" t="n">
        <x:f>'04 Financial Forecast'!D34</x:f>
        <x:v>1596437.2747480562</x:v>
      </x:c>
      <x:c r="E7" s="34" t="n">
        <x:f>'04 Financial Forecast'!E34</x:f>
        <x:v>1652721.1844345594</x:v>
      </x:c>
      <x:c r="F7" s="34" t="n">
        <x:f>'04 Financial Forecast'!F34</x:f>
        <x:v>1706858.5506891406</x:v>
      </x:c>
      <x:c r="G7" s="34" t="n">
        <x:f>'04 Financial Forecast'!G34</x:f>
        <x:v>1758503.0724418892</x:v>
      </x:c>
      <x:c r="H7" s="34" t="n">
        <x:f>'04 Financial Forecast'!H34</x:f>
        <x:v>1807314.932036158</x:v>
      </x:c>
    </x:row>
    <x:row r="8" ht="19" customHeight="1">
      <x:c r="A8" t="str">
        <x:v>Cash operating tax</x:v>
      </x:c>
      <x:c r="B8" s="34" t="n">
        <x:f>'04 Financial Forecast'!B35</x:f>
        <x:v>1123930</x:v>
      </x:c>
      <x:c r="C8" s="34" t="n">
        <x:f>'04 Financial Forecast'!C35</x:f>
        <x:v>315362.986966515</x:v>
      </x:c>
      <x:c r="D8" s="34" t="n">
        <x:f>'04 Financial Forecast'!D35</x:f>
        <x:v>327269.6413233515</x:v>
      </x:c>
      <x:c r="E8" s="34" t="n">
        <x:f>'04 Financial Forecast'!E35</x:f>
        <x:v>338807.8428090847</x:v>
      </x:c>
      <x:c r="F8" s="34" t="n">
        <x:f>'04 Financial Forecast'!F35</x:f>
        <x:v>349906.0028912738</x:v>
      </x:c>
      <x:c r="G8" s="34" t="n">
        <x:f>'04 Financial Forecast'!G35</x:f>
        <x:v>360493.1298505873</x:v>
      </x:c>
      <x:c r="H8" s="34" t="n">
        <x:f>'04 Financial Forecast'!H35</x:f>
        <x:v>370499.5610674124</x:v>
      </x:c>
    </x:row>
    <x:row r="9" ht="19" customHeight="1">
      <x:c r="A9" t="str">
        <x:v>NOPAT</x:v>
      </x:c>
      <x:c r="B9" s="26" t="n">
        <x:f>B7-B8</x:f>
        <x:v>378262</x:v>
      </x:c>
      <x:c r="C9" s="26" t="n">
        <x:f>C7-C8</x:f>
        <x:v>1222993.0470164851</x:v>
      </x:c>
      <x:c r="D9" s="26" t="n">
        <x:f>D7-D8</x:f>
        <x:v>1269167.6334247047</x:v>
      </x:c>
      <x:c r="E9" s="26" t="n">
        <x:f>E7-E8</x:f>
        <x:v>1313913.3416254749</x:v>
      </x:c>
      <x:c r="F9" s="26" t="n">
        <x:f>F7-F8</x:f>
        <x:v>1356952.5477978666</x:v>
      </x:c>
      <x:c r="G9" s="26" t="n">
        <x:f>G7-G8</x:f>
        <x:v>1398009.9425913019</x:v>
      </x:c>
      <x:c r="H9" s="26" t="n">
        <x:f>H7-H8</x:f>
        <x:v>1436815.3709687456</x:v>
      </x:c>
    </x:row>
    <x:row r="10" ht="19" customHeight="1">
      <x:c r="A10" t="str">
        <x:v>D&amp;A</x:v>
      </x:c>
      <x:c r="B10" s="34" t="n">
        <x:f>'04 Financial Forecast'!B38</x:f>
        <x:v>1588443</x:v>
      </x:c>
      <x:c r="C10" s="34" t="n">
        <x:f>'04 Financial Forecast'!C38</x:f>
        <x:v>190911.09054825</x:v>
      </x:c>
      <x:c r="D10" s="34" t="n">
        <x:f>'04 Financial Forecast'!D38</x:f>
        <x:v>198547.53417018</x:v>
      </x:c>
      <x:c r="E10" s="34" t="n">
        <x:f>'04 Financial Forecast'!E38</x:f>
        <x:v>205993.06670156177</x:v>
      </x:c>
      <x:c r="F10" s="34" t="n">
        <x:f>'04 Financial Forecast'!F38</x:f>
        <x:v>213202.82403611642</x:v>
      </x:c>
      <x:c r="G10" s="34" t="n">
        <x:f>'04 Financial Forecast'!G38</x:f>
        <x:v>220131.9158172902</x:v>
      </x:c>
      <x:c r="H10" s="34" t="n">
        <x:f>'04 Financial Forecast'!H38</x:f>
        <x:v>226735.8732918089</x:v>
      </x:c>
    </x:row>
    <x:row r="11" ht="19" customHeight="1">
      <x:c r="A11" t="str">
        <x:v>Operating PPE CapEx</x:v>
      </x:c>
      <x:c r="B11" s="34" t="n">
        <x:f>'04 Financial Forecast'!B40</x:f>
        <x:v>241778</x:v>
      </x:c>
      <x:c r="C11" s="34" t="n">
        <x:f>'04 Financial Forecast'!C40</x:f>
        <x:v>251781.29333174997</x:v>
      </x:c>
      <x:c r="D11" s="34" t="n">
        <x:f>'04 Financial Forecast'!D40</x:f>
        <x:v>261852.54506501998</x:v>
      </x:c>
      <x:c r="E11" s="34" t="n">
        <x:f>'04 Financial Forecast'!E40</x:f>
        <x:v>271672.0155049582</x:v>
      </x:c>
      <x:c r="F11" s="34" t="n">
        <x:f>'04 Financial Forecast'!F40</x:f>
        <x:v>281180.53604763176</x:v>
      </x:c>
      <x:c r="G11" s="34" t="n">
        <x:f>'04 Financial Forecast'!G40</x:f>
        <x:v>290318.90346917976</x:v>
      </x:c>
      <x:c r="H11" s="34" t="n">
        <x:f>'04 Financial Forecast'!H40</x:f>
        <x:v>299028.4705732552</x:v>
      </x:c>
    </x:row>
    <x:row r="12" ht="19" customHeight="1">
      <x:c r="A12" t="str">
        <x:v>Change in operating NWC</x:v>
      </x:c>
      <x:c r="B12" s="34" t="n">
        <x:f>'04 Financial Forecast'!B43</x:f>
        <x:v>308908</x:v>
      </x:c>
      <x:c r="C12" s="34" t="n">
        <x:f>'04 Financial Forecast'!C43</x:f>
        <x:v>90913.09742249968</x:v>
      </x:c>
      <x:c r="D12" s="34" t="n">
        <x:f>'04 Financial Forecast'!D43</x:f>
        <x:v>79463.28290646011</x:v>
      </x:c>
      <x:c r="E12" s="34" t="n">
        <x:f>'04 Financial Forecast'!E43</x:f>
        <x:v>76901.20073475456</x:v>
      </x:c>
      <x:c r="F12" s="34" t="n">
        <x:f>'04 Financial Forecast'!F43</x:f>
        <x:v>73858.96333618322</x:v>
      </x:c>
      <x:c r="G12" s="34" t="n">
        <x:f>'04 Financial Forecast'!G43</x:f>
        <x:v>70341.48245191574</x:v>
      </x:c>
      <x:c r="H12" s="34" t="n">
        <x:f>'04 Financial Forecast'!H43</x:f>
        <x:v>66358.60650724126</x:v>
      </x:c>
    </x:row>
    <x:row r="13" ht="19" customHeight="1">
      <x:c r="A13" t="str">
        <x:v>FCFF reconstructed</x:v>
      </x:c>
      <x:c r="B13" s="26" t="n">
        <x:f>B9+B10-B11-B12</x:f>
        <x:v>1416019</x:v>
      </x:c>
      <x:c r="C13" s="26" t="n">
        <x:f>C9+C10-C11-C12</x:f>
        <x:v>1071209.7468104854</x:v>
      </x:c>
      <x:c r="D13" s="26" t="n">
        <x:f>D9+D10-D11-D12</x:f>
        <x:v>1126399.3396234047</x:v>
      </x:c>
      <x:c r="E13" s="26" t="n">
        <x:f>E9+E10-E11-E12</x:f>
        <x:v>1171333.1920873239</x:v>
      </x:c>
      <x:c r="F13" s="26" t="n">
        <x:f>F9+F10-F11-F12</x:f>
        <x:v>1215115.8724501682</x:v>
      </x:c>
      <x:c r="G13" s="26" t="n">
        <x:f>G9+G10-G11-G12</x:f>
        <x:v>1257481.4724874967</x:v>
      </x:c>
      <x:c r="H13" s="26" t="n">
        <x:f>H9+H10-H11-H12</x:f>
        <x:v>1298164.167180058</x:v>
      </x:c>
    </x:row>
    <x:row r="14" ht="19" customHeight="1">
      <x:c r="A14" t="str">
        <x:v>FCFF forecast link</x:v>
      </x:c>
      <x:c r="B14" s="34" t="n">
        <x:f>'04 Financial Forecast'!B44</x:f>
        <x:v>1416019</x:v>
      </x:c>
      <x:c r="C14" s="34" t="n">
        <x:f>'04 Financial Forecast'!C44</x:f>
        <x:v>1071209.7468104854</x:v>
      </x:c>
      <x:c r="D14" s="34" t="n">
        <x:f>'04 Financial Forecast'!D44</x:f>
        <x:v>1126399.3396234047</x:v>
      </x:c>
      <x:c r="E14" s="34" t="n">
        <x:f>'04 Financial Forecast'!E44</x:f>
        <x:v>1171333.1920873239</x:v>
      </x:c>
      <x:c r="F14" s="34" t="n">
        <x:f>'04 Financial Forecast'!F44</x:f>
        <x:v>1215115.8724501682</x:v>
      </x:c>
      <x:c r="G14" s="34" t="n">
        <x:f>'04 Financial Forecast'!G44</x:f>
        <x:v>1257481.4724874967</x:v>
      </x:c>
      <x:c r="H14" s="34" t="n">
        <x:f>'04 Financial Forecast'!H44</x:f>
        <x:v>1298164.167180058</x:v>
      </x:c>
    </x:row>
    <x:row r="15" ht="19" customHeight="1">
      <x:c r="A15" t="str">
        <x:v>FCFF used for DCF</x:v>
      </x:c>
      <x:c r="B15" s="26" t="n">
        <x:f>B13</x:f>
        <x:v>1416019</x:v>
      </x:c>
      <x:c r="C15" s="26" t="n">
        <x:f>C13</x:f>
        <x:v>1071209.7468104854</x:v>
      </x:c>
      <x:c r="D15" s="26" t="n">
        <x:f>D13</x:f>
        <x:v>1126399.3396234047</x:v>
      </x:c>
      <x:c r="E15" s="26" t="n">
        <x:f>E13</x:f>
        <x:v>1171333.1920873239</x:v>
      </x:c>
      <x:c r="F15" s="26" t="n">
        <x:f>F13</x:f>
        <x:v>1215115.8724501682</x:v>
      </x:c>
      <x:c r="G15" s="26" t="n">
        <x:f>G13</x:f>
        <x:v>1257481.4724874967</x:v>
      </x:c>
      <x:c r="H15" s="26" t="n">
        <x:f>H13</x:f>
        <x:v>1298164.167180058</x:v>
      </x:c>
    </x:row>
    <x:row r="16" ht="19" customHeight="1">
      <x:c r="A16" t="str">
        <x:v>FCFF difference validation</x:v>
      </x:c>
      <x:c r="B16" s="26" t="n">
        <x:f>B13-B14</x:f>
        <x:v>0</x:v>
      </x:c>
      <x:c r="C16" s="26" t="n">
        <x:f>C13-C14</x:f>
        <x:v>0</x:v>
      </x:c>
      <x:c r="D16" s="26" t="n">
        <x:f>D13-D14</x:f>
        <x:v>0</x:v>
      </x:c>
      <x:c r="E16" s="26" t="n">
        <x:f>E13-E14</x:f>
        <x:v>0</x:v>
      </x:c>
      <x:c r="F16" s="26" t="n">
        <x:f>F13-F14</x:f>
        <x:v>0</x:v>
      </x:c>
      <x:c r="G16" s="26" t="n">
        <x:f>G13-G14</x:f>
        <x:v>0</x:v>
      </x:c>
      <x:c r="H16" s="26" t="n">
        <x:f>H13-H14</x:f>
        <x:v>0</x:v>
      </x:c>
    </x:row>
    <x:row r="17" ht="19" customHeight="1">
      <x:c r="B17" s="10"/>
      <x:c r="C17" s="10"/>
      <x:c r="D17" s="10"/>
      <x:c r="E17" s="10"/>
      <x:c r="F17" s="10"/>
      <x:c r="G17" s="10"/>
      <x:c r="H17" s="10"/>
    </x:row>
    <x:row r="18" ht="19" customHeight="1">
      <x:c r="B18" s="10"/>
      <x:c r="C18" s="10"/>
      <x:c r="D18" s="10"/>
      <x:c r="E18" s="10"/>
      <x:c r="F18" s="10"/>
      <x:c r="G18" s="10"/>
      <x:c r="H18" s="10"/>
    </x:row>
    <x:row r="19" ht="19" customHeight="1">
      <x:c r="A19" s="14" t="str">
        <x:v>TIMING AND OPERATING CONVENTIONS</x:v>
      </x:c>
      <x:c r="B19" s="15"/>
      <x:c r="C19" s="15"/>
      <x:c r="D19" s="15"/>
      <x:c r="E19" s="15"/>
      <x:c r="F19" s="15"/>
      <x:c r="G19" s="15"/>
      <x:c r="H19" s="15"/>
    </x:row>
    <x:row r="20" ht="19" customHeight="1">
      <x:c r="B20" s="10"/>
      <x:c r="C20" s="10"/>
      <x:c r="D20" s="10"/>
      <x:c r="E20" s="10"/>
      <x:c r="F20" s="10"/>
      <x:c r="G20" s="10"/>
      <x:c r="H20" s="10"/>
    </x:row>
    <x:row r="21" ht="19" customHeight="1">
      <x:c r="A21" t="str">
        <x:v>FY2026 full-year forecast is not all future to a 23 Oct 2026 valuation date.</x:v>
      </x:c>
      <x:c r="B21" s="10"/>
      <x:c r="C21" s="10"/>
      <x:c r="D21" s="10"/>
      <x:c r="E21" s="10"/>
      <x:c r="F21" s="10"/>
      <x:c r="G21" s="10"/>
      <x:c r="H21" s="10"/>
    </x:row>
    <x:row r="22" ht="19" customHeight="1">
      <x:c r="A22" t="str">
        <x:v>Stub valuation FCFF = forecast FY2026 FCFF × remaining days / 365; timing approximate.</x:v>
      </x:c>
      <x:c r="B22" s="10"/>
      <x:c r="C22" s="10"/>
      <x:c r="D22" s="10"/>
      <x:c r="E22" s="10"/>
      <x:c r="F22" s="10"/>
      <x:c r="G22" s="10"/>
      <x:c r="H22" s="10"/>
    </x:row>
    <x:row r="23" ht="19" customHeight="1">
      <x:c r="A23" t="str">
        <x:v>H1 2026 high inventory and NWC investment is not mechanically extrapolated.</x:v>
      </x:c>
      <x:c r="B23" s="10"/>
      <x:c r="C23" s="10"/>
      <x:c r="D23" s="10"/>
      <x:c r="E23" s="10"/>
      <x:c r="F23" s="10"/>
      <x:c r="G23" s="10"/>
      <x:c r="H23" s="10"/>
    </x:row>
    <x:row r="24" ht="19" customHeight="1">
      <x:c r="A24" t="str">
        <x:v>Future full years FY2027–2031 use period midpoints; terminal value end 2031.</x:v>
      </x:c>
      <x:c r="B24" s="10"/>
      <x:c r="C24" s="10"/>
      <x:c r="D24" s="10"/>
      <x:c r="E24" s="10"/>
      <x:c r="F24" s="10"/>
      <x:c r="G24" s="10"/>
      <x:c r="H24" s="10"/>
    </x:row>
    <x:row r="25" ht="19" customHeight="1">
      <x:c r="A25" t="str">
        <x:v>Operating income and cost of capital are nominal IDR and consolidated including NCI.</x:v>
      </x:c>
      <x:c r="B25" s="10"/>
      <x:c r="C25" s="10"/>
      <x:c r="D25" s="10"/>
      <x:c r="E25" s="10"/>
      <x:c r="F25" s="10"/>
      <x:c r="G25" s="10"/>
      <x:c r="H25" s="10"/>
    </x:row>
    <x:row r="26" ht="19" customHeight="1">
      <x:c r="B26" s="10"/>
      <x:c r="C26" s="10"/>
      <x:c r="D26" s="10"/>
      <x:c r="E26" s="10"/>
      <x:c r="F26" s="10"/>
      <x:c r="G26" s="10"/>
      <x:c r="H26" s="10"/>
    </x:row>
    <x:row r="27" ht="19" customHeight="1">
      <x:c r="B27" s="10"/>
      <x:c r="C27" s="10"/>
      <x:c r="D27" s="10"/>
      <x:c r="E27" s="10"/>
      <x:c r="F27" s="10"/>
      <x:c r="G27" s="10"/>
      <x:c r="H27" s="10"/>
    </x:row>
    <x:row r="28" ht="19" customHeight="1">
      <x:c r="B28" s="10"/>
      <x:c r="C28" s="10"/>
      <x:c r="D28" s="10"/>
      <x:c r="E28" s="10"/>
      <x:c r="F28" s="10"/>
      <x:c r="G28" s="10"/>
      <x:c r="H28" s="10"/>
    </x:row>
    <x:row r="29" ht="19" customHeight="1">
      <x:c r="B29" s="10"/>
      <x:c r="C29" s="10"/>
      <x:c r="D29" s="10"/>
      <x:c r="E29" s="10"/>
      <x:c r="F29" s="10"/>
      <x:c r="G29" s="10"/>
      <x:c r="H29" s="10"/>
    </x:row>
    <x:row r="30" ht="19" customHeight="1">
      <x:c r="B30" s="10"/>
      <x:c r="C30" s="10"/>
      <x:c r="D30" s="10"/>
      <x:c r="E30" s="10"/>
      <x:c r="F30" s="10"/>
      <x:c r="G30" s="10"/>
      <x:c r="H30" s="10"/>
    </x:row>
    <x:row r="31" ht="19" customHeight="1">
      <x:c r="B31" s="10"/>
      <x:c r="C31" s="10"/>
      <x:c r="D31" s="10"/>
      <x:c r="E31" s="10"/>
      <x:c r="F31" s="10"/>
      <x:c r="G31" s="10"/>
      <x:c r="H31" s="10"/>
    </x:row>
    <x:row r="32" ht="19" customHeight="1">
      <x:c r="B32" s="10"/>
      <x:c r="C32" s="10"/>
      <x:c r="D32" s="10"/>
      <x:c r="E32" s="10"/>
      <x:c r="F32" s="10"/>
      <x:c r="G32" s="10"/>
      <x:c r="H32" s="10"/>
    </x:row>
    <x:row r="33" ht="19" customHeight="1">
      <x:c r="B33" s="10"/>
      <x:c r="C33" s="10"/>
      <x:c r="D33" s="10"/>
      <x:c r="E33" s="10"/>
      <x:c r="F33" s="10"/>
      <x:c r="G33" s="10"/>
      <x:c r="H33" s="10"/>
    </x:row>
    <x:row r="34" ht="19" customHeight="1">
      <x:c r="B34" s="10"/>
      <x:c r="C34" s="10"/>
      <x:c r="D34" s="10"/>
      <x:c r="E34" s="10"/>
      <x:c r="F34" s="10"/>
      <x:c r="G34" s="10"/>
      <x:c r="H34" s="10"/>
    </x:row>
    <x:row r="35" ht="19" customHeight="1">
      <x:c r="B35" s="10"/>
      <x:c r="C35" s="10"/>
      <x:c r="D35" s="10"/>
      <x:c r="E35" s="10"/>
      <x:c r="F35" s="10"/>
      <x:c r="G35" s="10"/>
      <x:c r="H35" s="10"/>
    </x:row>
    <x:row r="36" ht="19" customHeight="1">
      <x:c r="B36" s="10"/>
      <x:c r="C36" s="10"/>
      <x:c r="D36" s="10"/>
      <x:c r="E36" s="10"/>
      <x:c r="F36" s="10"/>
      <x:c r="G36" s="10"/>
      <x:c r="H36" s="10"/>
    </x:row>
    <x:row r="37" ht="19" customHeight="1">
      <x:c r="B37" s="10"/>
      <x:c r="C37" s="10"/>
      <x:c r="D37" s="10"/>
      <x:c r="E37" s="10"/>
      <x:c r="F37" s="10"/>
      <x:c r="G37" s="10"/>
      <x:c r="H37" s="10"/>
    </x:row>
    <x:row r="38" ht="19" customHeight="1">
      <x:c r="B38" s="10"/>
      <x:c r="C38" s="10"/>
      <x:c r="D38" s="10"/>
      <x:c r="E38" s="10"/>
      <x:c r="F38" s="10"/>
      <x:c r="G38" s="10"/>
      <x:c r="H38" s="10"/>
    </x:row>
    <x:row r="39" ht="19" customHeight="1">
      <x:c r="B39" s="10"/>
      <x:c r="C39" s="10"/>
      <x:c r="D39" s="10"/>
      <x:c r="E39" s="10"/>
      <x:c r="F39" s="10"/>
      <x:c r="G39" s="10"/>
      <x:c r="H39" s="10"/>
    </x:row>
    <x:row r="40" ht="19" customHeight="1">
      <x:c r="B40" s="10"/>
      <x:c r="C40" s="10"/>
      <x:c r="D40" s="10"/>
      <x:c r="E40" s="10"/>
      <x:c r="F40" s="10"/>
      <x:c r="G40" s="10"/>
      <x:c r="H40" s="10"/>
    </x:row>
    <x:row r="41" ht="19" customHeight="1">
      <x:c r="B41" s="10"/>
      <x:c r="C41" s="10"/>
      <x:c r="D41" s="10"/>
      <x:c r="E41" s="10"/>
      <x:c r="F41" s="10"/>
      <x:c r="G41" s="10"/>
      <x:c r="H41" s="10"/>
    </x:row>
    <x:row r="42" ht="19" customHeight="1">
      <x:c r="B42" s="10"/>
      <x:c r="C42" s="10"/>
      <x:c r="D42" s="10"/>
      <x:c r="E42" s="10"/>
      <x:c r="F42" s="10"/>
      <x:c r="G42" s="10"/>
      <x:c r="H42" s="10"/>
    </x:row>
    <x:row r="43" ht="19" customHeight="1">
      <x:c r="B43" s="10"/>
      <x:c r="C43" s="10"/>
      <x:c r="D43" s="10"/>
      <x:c r="E43" s="10"/>
      <x:c r="F43" s="10"/>
      <x:c r="G43" s="10"/>
      <x:c r="H43" s="10"/>
    </x:row>
    <x:row r="44" ht="19" customHeight="1">
      <x:c r="B44" s="10"/>
      <x:c r="C44" s="10"/>
      <x:c r="D44" s="10"/>
      <x:c r="E44" s="10"/>
      <x:c r="F44" s="10"/>
      <x:c r="G44" s="10"/>
      <x:c r="H44" s="10"/>
    </x:row>
    <x:row r="45" ht="19" customHeight="1">
      <x:c r="B45" s="10"/>
      <x:c r="C45" s="10"/>
      <x:c r="D45" s="10"/>
      <x:c r="E45" s="10"/>
      <x:c r="F45" s="10"/>
      <x:c r="G45" s="10"/>
      <x:c r="H45" s="10"/>
    </x:row>
    <x:row r="46" ht="19" customHeight="1">
      <x:c r="B46" s="10"/>
      <x:c r="C46" s="10"/>
      <x:c r="D46" s="10"/>
      <x:c r="E46" s="10"/>
      <x:c r="F46" s="10"/>
      <x:c r="G46" s="10"/>
      <x:c r="H46" s="10"/>
    </x:row>
    <x:row r="47" ht="19" customHeight="1">
      <x:c r="B47" s="10"/>
      <x:c r="C47" s="10"/>
      <x:c r="D47" s="10"/>
      <x:c r="E47" s="10"/>
      <x:c r="F47" s="10"/>
      <x:c r="G47" s="10"/>
      <x:c r="H47" s="10"/>
    </x:row>
    <x:row r="48" ht="19" customHeight="1">
      <x:c r="B48" s="10"/>
      <x:c r="C48" s="10"/>
      <x:c r="D48" s="10"/>
      <x:c r="E48" s="10"/>
      <x:c r="F48" s="10"/>
      <x:c r="G48" s="10"/>
      <x:c r="H48" s="10"/>
    </x:row>
    <x:row r="49" ht="19" customHeight="1">
      <x:c r="B49" s="10"/>
      <x:c r="C49" s="10"/>
      <x:c r="D49" s="10"/>
      <x:c r="E49" s="10"/>
      <x:c r="F49" s="10"/>
      <x:c r="G49" s="10"/>
      <x:c r="H49" s="10"/>
    </x:row>
    <x:row r="50" ht="19" customHeight="1">
      <x:c r="B50" s="10"/>
      <x:c r="C50" s="10"/>
      <x:c r="D50" s="10"/>
      <x:c r="E50" s="10"/>
      <x:c r="F50" s="10"/>
      <x:c r="G50" s="10"/>
      <x:c r="H50" s="10"/>
    </x:row>
    <x:row r="51" ht="19" customHeight="1">
      <x:c r="B51" s="10"/>
      <x:c r="C51" s="10"/>
      <x:c r="D51" s="10"/>
      <x:c r="E51" s="10"/>
      <x:c r="F51" s="10"/>
      <x:c r="G51" s="10"/>
      <x:c r="H51" s="10"/>
    </x:row>
    <x:row r="52" ht="19" customHeight="1">
      <x:c r="B52" s="10"/>
      <x:c r="C52" s="10"/>
      <x:c r="D52" s="10"/>
      <x:c r="E52" s="10"/>
      <x:c r="F52" s="10"/>
      <x:c r="G52" s="10"/>
      <x:c r="H52" s="10"/>
    </x:row>
    <x:row r="53" ht="19" customHeight="1">
      <x:c r="B53" s="10"/>
      <x:c r="C53" s="10"/>
      <x:c r="D53" s="10"/>
      <x:c r="E53" s="10"/>
      <x:c r="F53" s="10"/>
      <x:c r="G53" s="10"/>
      <x:c r="H53" s="10"/>
    </x:row>
    <x:row r="54" ht="19" customHeight="1">
      <x:c r="B54" s="10"/>
      <x:c r="C54" s="10"/>
      <x:c r="D54" s="10"/>
      <x:c r="E54" s="10"/>
      <x:c r="F54" s="10"/>
      <x:c r="G54" s="10"/>
      <x:c r="H54" s="10"/>
    </x:row>
    <x:row r="55" ht="19" customHeight="1">
      <x:c r="B55" s="10"/>
      <x:c r="C55" s="10"/>
      <x:c r="D55" s="10"/>
      <x:c r="E55" s="10"/>
      <x:c r="F55" s="10"/>
      <x:c r="G55" s="10"/>
      <x:c r="H55" s="10"/>
    </x:row>
    <x:row r="56" ht="19" customHeight="1">
      <x:c r="B56" s="10"/>
      <x:c r="C56" s="10"/>
      <x:c r="D56" s="10"/>
      <x:c r="E56" s="10"/>
      <x:c r="F56" s="10"/>
      <x:c r="G56" s="10"/>
      <x:c r="H56" s="10"/>
    </x:row>
    <x:row r="57" ht="19" customHeight="1">
      <x:c r="B57" s="10"/>
      <x:c r="C57" s="10"/>
      <x:c r="D57" s="10"/>
      <x:c r="E57" s="10"/>
      <x:c r="F57" s="10"/>
      <x:c r="G57" s="10"/>
      <x:c r="H57" s="10"/>
    </x:row>
    <x:row r="58" ht="19" customHeight="1">
      <x:c r="B58" s="10"/>
      <x:c r="C58" s="10"/>
      <x:c r="D58" s="10"/>
      <x:c r="E58" s="10"/>
      <x:c r="F58" s="10"/>
      <x:c r="G58" s="10"/>
      <x:c r="H58" s="10"/>
    </x:row>
    <x:row r="59" ht="19" customHeight="1">
      <x:c r="B59" s="10"/>
      <x:c r="C59" s="10"/>
      <x:c r="D59" s="10"/>
      <x:c r="E59" s="10"/>
      <x:c r="F59" s="10"/>
      <x:c r="G59" s="10"/>
      <x:c r="H59" s="10"/>
    </x:row>
    <x:row r="60" ht="19" customHeight="1">
      <x:c r="B60" s="10"/>
      <x:c r="C60" s="10"/>
      <x:c r="D60" s="10"/>
      <x:c r="E60" s="10"/>
      <x:c r="F60" s="10"/>
      <x:c r="G60" s="10"/>
      <x:c r="H60" s="10"/>
    </x:row>
    <x:row r="61" ht="19" customHeight="1">
      <x:c r="B61" s="10"/>
      <x:c r="C61" s="10"/>
      <x:c r="D61" s="10"/>
      <x:c r="E61" s="10"/>
      <x:c r="F61" s="10"/>
      <x:c r="G61" s="10"/>
      <x:c r="H61" s="10"/>
    </x:row>
    <x:row r="62" ht="19" customHeight="1">
      <x:c r="B62" s="10"/>
      <x:c r="C62" s="10"/>
      <x:c r="D62" s="10"/>
      <x:c r="E62" s="10"/>
      <x:c r="F62" s="10"/>
      <x:c r="G62" s="10"/>
      <x:c r="H62" s="10"/>
    </x:row>
    <x:row r="63" ht="19" customHeight="1">
      <x:c r="B63" s="10"/>
      <x:c r="C63" s="10"/>
      <x:c r="D63" s="10"/>
      <x:c r="E63" s="10"/>
      <x:c r="F63" s="10"/>
      <x:c r="G63" s="10"/>
      <x:c r="H63" s="10"/>
    </x:row>
    <x:row r="64" ht="19" customHeight="1">
      <x:c r="B64" s="10"/>
      <x:c r="C64" s="10"/>
      <x:c r="D64" s="10"/>
      <x:c r="E64" s="10"/>
      <x:c r="F64" s="10"/>
      <x:c r="G64" s="10"/>
      <x:c r="H64" s="10"/>
    </x:row>
    <x:row r="65" ht="19" customHeight="1">
      <x:c r="B65" s="10"/>
      <x:c r="C65" s="10"/>
      <x:c r="D65" s="10"/>
      <x:c r="E65" s="10"/>
      <x:c r="F65" s="10"/>
      <x:c r="G65" s="10"/>
      <x:c r="H65" s="10"/>
    </x:row>
    <x:row r="66" ht="19" customHeight="1">
      <x:c r="B66" s="10"/>
      <x:c r="C66" s="10"/>
      <x:c r="D66" s="10"/>
      <x:c r="E66" s="10"/>
      <x:c r="F66" s="10"/>
      <x:c r="G66" s="10"/>
      <x:c r="H66" s="10"/>
    </x:row>
    <x:row r="67" ht="19" customHeight="1">
      <x:c r="B67" s="10"/>
      <x:c r="C67" s="10"/>
      <x:c r="D67" s="10"/>
      <x:c r="E67" s="10"/>
      <x:c r="F67" s="10"/>
      <x:c r="G67" s="10"/>
      <x:c r="H67" s="10"/>
    </x:row>
    <x:row r="68" ht="19" customHeight="1">
      <x:c r="B68" s="10"/>
      <x:c r="C68" s="10"/>
      <x:c r="D68" s="10"/>
      <x:c r="E68" s="10"/>
      <x:c r="F68" s="10"/>
      <x:c r="G68" s="10"/>
      <x:c r="H68" s="10"/>
    </x:row>
    <x:row r="69" ht="19" customHeight="1">
      <x:c r="B69" s="10"/>
      <x:c r="C69" s="10"/>
      <x:c r="D69" s="10"/>
      <x:c r="E69" s="10"/>
      <x:c r="F69" s="10"/>
      <x:c r="G69" s="10"/>
      <x:c r="H69" s="10"/>
    </x:row>
    <x:row r="70" ht="19" customHeight="1">
      <x:c r="B70" s="10"/>
      <x:c r="C70" s="10"/>
      <x:c r="D70" s="10"/>
      <x:c r="E70" s="10"/>
      <x:c r="F70" s="10"/>
      <x:c r="G70" s="10"/>
      <x:c r="H70" s="10"/>
    </x:row>
    <x:row r="71" ht="19" customHeight="1">
      <x:c r="B71" s="10"/>
      <x:c r="C71" s="10"/>
      <x:c r="D71" s="10"/>
      <x:c r="E71" s="10"/>
      <x:c r="F71" s="10"/>
      <x:c r="G71" s="10"/>
      <x:c r="H71" s="10"/>
    </x:row>
    <x:row r="72" ht="19" customHeight="1">
      <x:c r="B72" s="10"/>
      <x:c r="C72" s="10"/>
      <x:c r="D72" s="10"/>
      <x:c r="E72" s="10"/>
      <x:c r="F72" s="10"/>
      <x:c r="G72" s="10"/>
      <x:c r="H72" s="10"/>
    </x:row>
    <x:row r="73" ht="19" customHeight="1">
      <x:c r="B73" s="10"/>
      <x:c r="C73" s="10"/>
      <x:c r="D73" s="10"/>
      <x:c r="E73" s="10"/>
      <x:c r="F73" s="10"/>
      <x:c r="G73" s="10"/>
      <x:c r="H73" s="10"/>
    </x:row>
    <x:row r="74" ht="19" customHeight="1">
      <x:c r="B74" s="10"/>
      <x:c r="C74" s="10"/>
      <x:c r="D74" s="10"/>
      <x:c r="E74" s="10"/>
      <x:c r="F74" s="10"/>
      <x:c r="G74" s="10"/>
      <x:c r="H74" s="10"/>
    </x:row>
    <x:row r="75" ht="19" customHeight="1">
      <x:c r="B75" s="10"/>
      <x:c r="C75" s="10"/>
      <x:c r="D75" s="10"/>
      <x:c r="E75" s="10"/>
      <x:c r="F75" s="10"/>
      <x:c r="G75" s="10"/>
      <x:c r="H75" s="10"/>
    </x:row>
    <x:row r="76" ht="19" customHeight="1">
      <x:c r="B76" s="10"/>
      <x:c r="C76" s="10"/>
      <x:c r="D76" s="10"/>
      <x:c r="E76" s="10"/>
      <x:c r="F76" s="10"/>
      <x:c r="G76" s="10"/>
      <x:c r="H76" s="10"/>
    </x:row>
    <x:row r="77" ht="19" customHeight="1">
      <x:c r="B77" s="10"/>
      <x:c r="C77" s="10"/>
      <x:c r="D77" s="10"/>
      <x:c r="E77" s="10"/>
      <x:c r="F77" s="10"/>
      <x:c r="G77" s="10"/>
      <x:c r="H77" s="10"/>
    </x:row>
    <x:row r="78" ht="19" customHeight="1">
      <x:c r="B78" s="10"/>
      <x:c r="C78" s="10"/>
      <x:c r="D78" s="10"/>
      <x:c r="E78" s="10"/>
      <x:c r="F78" s="10"/>
      <x:c r="G78" s="10"/>
      <x:c r="H78" s="10"/>
    </x:row>
    <x:row r="79" ht="19" customHeight="1">
      <x:c r="B79" s="10"/>
      <x:c r="C79" s="10"/>
      <x:c r="D79" s="10"/>
      <x:c r="E79" s="10"/>
      <x:c r="F79" s="10"/>
      <x:c r="G79" s="10"/>
      <x:c r="H79" s="10"/>
    </x:row>
    <x:row r="80" ht="19" customHeight="1">
      <x:c r="B80" s="10"/>
      <x:c r="C80" s="10"/>
      <x:c r="D80" s="10"/>
      <x:c r="E80" s="10"/>
      <x:c r="F80" s="10"/>
      <x:c r="G80" s="10"/>
      <x:c r="H80" s="10"/>
    </x:row>
    <x:row r="81" ht="19" customHeight="1">
      <x:c r="B81" s="10"/>
      <x:c r="C81" s="10"/>
      <x:c r="D81" s="10"/>
      <x:c r="E81" s="10"/>
      <x:c r="F81" s="10"/>
      <x:c r="G81" s="10"/>
      <x:c r="H81" s="10"/>
    </x:row>
    <x:row r="82" ht="19" customHeight="1">
      <x:c r="B82" s="10"/>
      <x:c r="C82" s="10"/>
      <x:c r="D82" s="10"/>
      <x:c r="E82" s="10"/>
      <x:c r="F82" s="10"/>
      <x:c r="G82" s="10"/>
      <x:c r="H82" s="10"/>
    </x:row>
    <x:row r="83" ht="19" customHeight="1">
      <x:c r="B83" s="10"/>
      <x:c r="C83" s="10"/>
      <x:c r="D83" s="10"/>
      <x:c r="E83" s="10"/>
      <x:c r="F83" s="10"/>
      <x:c r="G83" s="10"/>
      <x:c r="H83" s="10"/>
    </x:row>
    <x:row r="84" ht="19" customHeight="1">
      <x:c r="B84" s="10"/>
      <x:c r="C84" s="10"/>
      <x:c r="D84" s="10"/>
      <x:c r="E84" s="10"/>
      <x:c r="F84" s="10"/>
      <x:c r="G84" s="10"/>
      <x:c r="H84" s="10"/>
    </x:row>
    <x:row r="85" ht="19" customHeight="1">
      <x:c r="B85" s="10"/>
      <x:c r="C85" s="10"/>
      <x:c r="D85" s="10"/>
      <x:c r="E85" s="10"/>
      <x:c r="F85" s="10"/>
      <x:c r="G85" s="10"/>
      <x:c r="H85" s="10"/>
    </x:row>
    <x:row r="86" ht="19" customHeight="1">
      <x:c r="B86" s="10"/>
      <x:c r="C86" s="10"/>
      <x:c r="D86" s="10"/>
      <x:c r="E86" s="10"/>
      <x:c r="F86" s="10"/>
      <x:c r="G86" s="10"/>
      <x:c r="H86" s="10"/>
    </x:row>
    <x:row r="87" ht="19" customHeight="1">
      <x:c r="B87" s="10"/>
      <x:c r="C87" s="10"/>
      <x:c r="D87" s="10"/>
      <x:c r="E87" s="10"/>
      <x:c r="F87" s="10"/>
      <x:c r="G87" s="10"/>
      <x:c r="H87" s="10"/>
    </x:row>
    <x:row r="88" ht="19" customHeight="1">
      <x:c r="B88" s="10"/>
      <x:c r="C88" s="10"/>
      <x:c r="D88" s="10"/>
      <x:c r="E88" s="10"/>
      <x:c r="F88" s="10"/>
      <x:c r="G88" s="10"/>
      <x:c r="H88" s="10"/>
    </x:row>
    <x:row r="89" ht="19" customHeight="1">
      <x:c r="B89" s="10"/>
      <x:c r="C89" s="10"/>
      <x:c r="D89" s="10"/>
      <x:c r="E89" s="10"/>
      <x:c r="F89" s="10"/>
      <x:c r="G89" s="10"/>
      <x:c r="H89" s="10"/>
    </x:row>
    <x:row r="90" ht="19" customHeight="1">
      <x:c r="B90" s="10"/>
      <x:c r="C90" s="10"/>
      <x:c r="D90" s="10"/>
      <x:c r="E90" s="10"/>
      <x:c r="F90" s="10"/>
      <x:c r="G90" s="10"/>
      <x:c r="H90" s="10"/>
    </x:row>
  </x:sheetData>
  <x:mergeCells>
    <x:mergeCell ref="A1:H2"/>
    <x:mergeCell ref="A3:H3"/>
    <x:mergeCell ref="A19:H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6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7" customHeight="1">
      <x:c r="A1" s="3" t="str">
        <x:v>06 Cost of Equity / WACC</x:v>
      </x:c>
      <x:c r="B1" s="3"/>
      <x:c r="C1" s="3"/>
      <x:c r="D1" s="3"/>
      <x:c r="E1" s="3"/>
      <x:c r="F1" s="3"/>
      <x:c r="G1" s="3"/>
    </x:row>
    <x:row r="2" ht="27" customHeight="1">
      <x:c r="A2" s="3"/>
      <x:c r="B2" s="3"/>
      <x:c r="C2" s="3"/>
      <x:c r="D2" s="3"/>
      <x:c r="E2" s="3"/>
      <x:c r="F2" s="3"/>
      <x:c r="G2" s="3"/>
    </x:row>
    <x:row r="3" ht="19" customHeight="1">
      <x:c r="A3" s="7" t="str">
        <x:v>Nominal rupiah • Damodaran July 2026 CRP proxy, January 2026 auto-parts beta</x:v>
      </x:c>
      <x:c r="B3" s="7"/>
      <x:c r="C3" s="7"/>
      <x:c r="D3" s="7"/>
      <x:c r="E3" s="7"/>
      <x:c r="F3" s="7"/>
      <x:c r="G3" s="7"/>
    </x:row>
    <x:row r="4" ht="19" customHeight="1"/>
    <x:row r="5" ht="19" customHeight="1">
      <x:c r="A5" s="14" t="str">
        <x:v>AS-OF-DATE MARKET / RISK INPUTS</x:v>
      </x:c>
      <x:c r="B5" s="15"/>
      <x:c r="C5" s="15"/>
      <x:c r="D5" s="15"/>
      <x:c r="E5" s="15"/>
      <x:c r="F5" s="15"/>
      <x:c r="G5" s="15"/>
    </x:row>
    <x:row r="6" ht="19" customHeight="1">
      <x:c r="B6" s="10"/>
      <x:c r="C6" s="10"/>
      <x:c r="D6" s="10"/>
      <x:c r="E6" s="10"/>
      <x:c r="F6" s="10"/>
      <x:c r="G6" s="10"/>
    </x:row>
    <x:row r="7" ht="19" customHeight="1">
      <x:c r="A7" t="str">
        <x:v>23 Oct 2026 Indonesia 10y sovereign yield</x:v>
      </x:c>
      <x:c r="B7" s="32" t="n">
        <x:v>0.07446</x:v>
      </x:c>
      <x:c r="C7" s="10"/>
      <x:c r="D7" s="10"/>
      <x:c r="E7" s="10"/>
      <x:c r="F7" s="10"/>
      <x:c r="G7" s="10"/>
    </x:row>
    <x:row r="8" ht="19" customHeight="1">
      <x:c r="A8" t="str">
        <x:v>July 2026 sovereign default spread</x:v>
      </x:c>
      <x:c r="B8" s="32" t="n">
        <x:v>0.0152</x:v>
      </x:c>
      <x:c r="C8" s="10"/>
      <x:c r="D8" s="10"/>
      <x:c r="E8" s="10"/>
      <x:c r="F8" s="10"/>
      <x:c r="G8" s="10"/>
    </x:row>
    <x:row r="9" ht="19" customHeight="1">
      <x:c r="A9" t="str">
        <x:v>Default-free IDR rate</x:v>
      </x:c>
      <x:c r="B9" s="28" t="n">
        <x:f>B7-B8</x:f>
        <x:v>0.05926</x:v>
      </x:c>
      <x:c r="C9" s="10"/>
      <x:c r="D9" s="10"/>
      <x:c r="E9" s="10"/>
      <x:c r="F9" s="10"/>
      <x:c r="G9" s="10"/>
    </x:row>
    <x:row r="10" ht="19" customHeight="1">
      <x:c r="A10" t="str">
        <x:v>July 2026 total Indonesia ERP</x:v>
      </x:c>
      <x:c r="B10" s="32" t="n">
        <x:v>0.0656</x:v>
      </x:c>
      <x:c r="C10" s="10"/>
      <x:c r="D10" s="10"/>
      <x:c r="E10" s="10"/>
      <x:c r="F10" s="10"/>
      <x:c r="G10" s="10"/>
    </x:row>
    <x:row r="11" ht="19" customHeight="1">
      <x:c r="A11" t="str">
        <x:v>July 2026 country ERP</x:v>
      </x:c>
      <x:c r="B11" s="32" t="n">
        <x:v>0.0236</x:v>
      </x:c>
      <x:c r="C11" s="10"/>
      <x:c r="D11" s="10"/>
      <x:c r="E11" s="10"/>
      <x:c r="F11" s="10"/>
      <x:c r="G11" s="10"/>
    </x:row>
    <x:row r="12" ht="19" customHeight="1">
      <x:c r="A12" t="str">
        <x:v>Mature market ERP</x:v>
      </x:c>
      <x:c r="B12" s="28" t="n">
        <x:f>B10-B11</x:f>
        <x:v>0.04200000000000001</x:v>
      </x:c>
      <x:c r="C12" s="10"/>
      <x:c r="D12" s="10"/>
      <x:c r="E12" s="10"/>
      <x:c r="F12" s="10"/>
      <x:c r="G12" s="10"/>
    </x:row>
    <x:row r="13" ht="19" customHeight="1">
      <x:c r="A13" t="str">
        <x:v>Proportion Indonesian economic risk exposure</x:v>
      </x:c>
      <x:c r="B13" s="32" t="n">
        <x:v>0.354</x:v>
      </x:c>
      <x:c r="C13" s="10"/>
      <x:c r="D13" s="10"/>
      <x:c r="E13" s="10"/>
      <x:c r="F13" s="10"/>
      <x:c r="G13" s="10"/>
    </x:row>
    <x:row r="14" ht="19" customHeight="1">
      <x:c r="A14" t="str">
        <x:v>Adjusted exposure-weighted ERP</x:v>
      </x:c>
      <x:c r="B14" s="28" t="n">
        <x:f>B12+B11*B13</x:f>
        <x:v>0.05035440000000001</x:v>
      </x:c>
      <x:c r="C14" s="10"/>
      <x:c r="D14" s="10"/>
      <x:c r="E14" s="10"/>
      <x:c r="F14" s="10"/>
      <x:c r="G14" s="10"/>
    </x:row>
    <x:row r="15" ht="19" customHeight="1">
      <x:c r="A15" t="str">
        <x:v>Global auto parts unlevered beta Jan 2026</x:v>
      </x:c>
      <x:c r="B15" s="30" t="n">
        <x:v>1.2</x:v>
      </x:c>
      <x:c r="C15" s="10"/>
      <x:c r="D15" s="10"/>
      <x:c r="E15" s="10"/>
      <x:c r="F15" s="10"/>
      <x:c r="G15" s="10"/>
    </x:row>
    <x:row r="16" ht="19" customHeight="1">
      <x:c r="A16" t="str">
        <x:v>SMSM market capitalization (Rp m)</x:v>
      </x:c>
      <x:c r="B16" s="34" t="n">
        <x:f>'08 Equity Bridge'!B7</x:f>
        <x:v>9616987.9848</x:v>
      </x:c>
      <x:c r="C16" s="10"/>
      <x:c r="D16" s="10"/>
      <x:c r="E16" s="10"/>
      <x:c r="F16" s="10"/>
      <x:c r="G16" s="10"/>
    </x:row>
    <x:row r="17" ht="19" customHeight="1">
      <x:c r="A17" t="str">
        <x:v>Jun 2026 bank debt (Rp m)</x:v>
      </x:c>
      <x:c r="B17" s="24" t="n">
        <x:v>95046</x:v>
      </x:c>
      <x:c r="C17" s="10"/>
      <x:c r="D17" s="10"/>
      <x:c r="E17" s="10"/>
      <x:c r="F17" s="10"/>
      <x:c r="G17" s="10"/>
    </x:row>
    <x:row r="18" ht="19" customHeight="1">
      <x:c r="A18" t="str">
        <x:v>Jun 2026 lease debt (Rp m)</x:v>
      </x:c>
      <x:c r="B18" s="24" t="n">
        <x:v>67029</x:v>
      </x:c>
      <x:c r="C18" s="10"/>
      <x:c r="D18" s="10"/>
      <x:c r="E18" s="10"/>
      <x:c r="F18" s="10"/>
      <x:c r="G18" s="10"/>
    </x:row>
    <x:row r="19" ht="19" customHeight="1">
      <x:c r="A19" t="str">
        <x:v>NCI book proxy as equity capital (Rp m)</x:v>
      </x:c>
      <x:c r="B19" s="24" t="n">
        <x:v>519060</x:v>
      </x:c>
      <x:c r="C19" s="10"/>
      <x:c r="D19" s="10"/>
      <x:c r="E19" s="10"/>
      <x:c r="F19" s="10"/>
      <x:c r="G19" s="10"/>
    </x:row>
    <x:row r="20" ht="19" customHeight="1">
      <x:c r="A20" t="str">
        <x:v>Cost of bank debt</x:v>
      </x:c>
      <x:c r="B20" s="32" t="n">
        <x:v>0.085</x:v>
      </x:c>
      <x:c r="C20" s="10"/>
      <x:c r="D20" s="10"/>
      <x:c r="E20" s="10"/>
      <x:c r="F20" s="10"/>
      <x:c r="G20" s="10"/>
    </x:row>
    <x:row r="21" ht="19" customHeight="1">
      <x:c r="A21" t="str">
        <x:v>Cost of lease financing</x:v>
      </x:c>
      <x:c r="B21" s="32" t="n">
        <x:v>0.09</x:v>
      </x:c>
      <x:c r="C21" s="10"/>
      <x:c r="D21" s="10"/>
      <x:c r="E21" s="10"/>
      <x:c r="F21" s="10"/>
      <x:c r="G21" s="10"/>
    </x:row>
    <x:row r="22" ht="19" customHeight="1">
      <x:c r="A22" t="str">
        <x:v>Marginal deductible financing tax shield</x:v>
      </x:c>
      <x:c r="B22" s="32" t="n">
        <x:v>0.19</x:v>
      </x:c>
      <x:c r="C22" s="10"/>
      <x:c r="D22" s="10"/>
      <x:c r="E22" s="10"/>
      <x:c r="F22" s="10"/>
      <x:c r="G22" s="10"/>
    </x:row>
    <x:row r="23" ht="19" customHeight="1">
      <x:c r="A23" t="str">
        <x:v>Relevered beta</x:v>
      </x:c>
      <x:c r="B23" s="26" t="n">
        <x:f>B15*(1+(1-B22)*B26/B25)</x:f>
        <x:v>1.2155422409440286</x:v>
      </x:c>
      <x:c r="C23" s="10"/>
      <x:c r="D23" s="10"/>
      <x:c r="E23" s="10"/>
      <x:c r="F23" s="10"/>
      <x:c r="G23" s="10"/>
    </x:row>
    <x:row r="24" ht="19" customHeight="1">
      <x:c r="A24" t="str">
        <x:v>Cost of equity</x:v>
      </x:c>
      <x:c r="B24" s="28" t="n">
        <x:f>B9+B23*B14</x:f>
        <x:v>0.12046790021739201</x:v>
      </x:c>
      <x:c r="C24" s="10"/>
      <x:c r="D24" s="10"/>
      <x:c r="E24" s="10"/>
      <x:c r="F24" s="10"/>
      <x:c r="G24" s="10"/>
    </x:row>
    <x:row r="25" ht="19" customHeight="1">
      <x:c r="A25" t="str">
        <x:v>Equity capital (parent market + NCI proxy)</x:v>
      </x:c>
      <x:c r="B25" s="26" t="n">
        <x:f>B16+B19</x:f>
        <x:v>10136047.9848</x:v>
      </x:c>
      <x:c r="C25" s="10"/>
      <x:c r="D25" s="10"/>
      <x:c r="E25" s="10"/>
      <x:c r="F25" s="10"/>
      <x:c r="G25" s="10"/>
    </x:row>
    <x:row r="26" ht="19" customHeight="1">
      <x:c r="A26" t="str">
        <x:v>Debt capital</x:v>
      </x:c>
      <x:c r="B26" s="26" t="n">
        <x:f>B17+B18</x:f>
        <x:v>162075</x:v>
      </x:c>
      <x:c r="C26" s="10"/>
      <x:c r="D26" s="10"/>
      <x:c r="E26" s="10"/>
      <x:c r="F26" s="10"/>
      <x:c r="G26" s="10"/>
    </x:row>
    <x:row r="27" ht="19" customHeight="1">
      <x:c r="A27" t="str">
        <x:v>Equity weight</x:v>
      </x:c>
      <x:c r="B27" s="28" t="n">
        <x:f>B25/(B25+B26)</x:f>
        <x:v>0.984261695044891</x:v>
      </x:c>
      <x:c r="C27" s="10"/>
      <x:c r="D27" s="10"/>
      <x:c r="E27" s="10"/>
      <x:c r="F27" s="10"/>
      <x:c r="G27" s="10"/>
    </x:row>
    <x:row r="28" ht="19" customHeight="1">
      <x:c r="A28" t="str">
        <x:v>Debt weight</x:v>
      </x:c>
      <x:c r="B28" s="28" t="n">
        <x:f>B26/(B25+B26)</x:f>
        <x:v>0.015738304955109028</x:v>
      </x:c>
      <x:c r="C28" s="10"/>
      <x:c r="D28" s="10"/>
      <x:c r="E28" s="10"/>
      <x:c r="F28" s="10"/>
      <x:c r="G28" s="10"/>
    </x:row>
    <x:row r="29" ht="19" customHeight="1">
      <x:c r="A29" t="str">
        <x:v>Effective debt cost (pre-tax)</x:v>
      </x:c>
      <x:c r="B29" s="28" t="n">
        <x:f>(B17*B20+B18*B21)/B26</x:f>
        <x:v>0.08706783896344285</x:v>
      </x:c>
      <x:c r="C29" s="10"/>
      <x:c r="D29" s="10"/>
      <x:c r="E29" s="10"/>
      <x:c r="F29" s="10"/>
      <x:c r="G29" s="10"/>
    </x:row>
    <x:row r="30" ht="19" customHeight="1">
      <x:c r="A30" t="str">
        <x:v>WACC base</x:v>
      </x:c>
      <x:c r="B30" s="28" t="n">
        <x:f>B27*B24+B28*B29*(1-B22)</x:f>
        <x:v>0.11968188282959415</x:v>
      </x:c>
      <x:c r="C30" s="10"/>
      <x:c r="D30" s="10"/>
      <x:c r="E30" s="10"/>
      <x:c r="F30" s="10"/>
      <x:c r="G30" s="10"/>
    </x:row>
    <x:row r="31" ht="19" customHeight="1">
      <x:c r="B31" s="10"/>
      <x:c r="C31" s="10"/>
      <x:c r="D31" s="10"/>
      <x:c r="E31" s="10"/>
      <x:c r="F31" s="10"/>
      <x:c r="G31" s="10"/>
    </x:row>
    <x:row r="32" ht="19" customHeight="1">
      <x:c r="B32" s="10"/>
      <x:c r="C32" s="10"/>
      <x:c r="D32" s="10"/>
      <x:c r="E32" s="10"/>
      <x:c r="F32" s="10"/>
      <x:c r="G32" s="10"/>
    </x:row>
    <x:row r="33" ht="19" customHeight="1">
      <x:c r="B33" s="10"/>
      <x:c r="C33" s="10"/>
      <x:c r="D33" s="10"/>
      <x:c r="E33" s="10"/>
      <x:c r="F33" s="10"/>
      <x:c r="G33" s="10"/>
    </x:row>
    <x:row r="34" ht="19" customHeight="1">
      <x:c r="A34" t="str">
        <x:v>IDR zero-risk = local 10Y government yield less Damodaran default spread (modeling proxy).</x:v>
      </x:c>
      <x:c r="B34" s="10"/>
      <x:c r="C34" s="10"/>
      <x:c r="D34" s="10"/>
      <x:c r="E34" s="10"/>
      <x:c r="F34" s="10"/>
      <x:c r="G34" s="10"/>
    </x:row>
    <x:row r="35" ht="19" customHeight="1">
      <x:c r="A35" t="str">
        <x:v>ERP = mature-market premium plus country premium scaled by Indonesian sales exposure (35.4% proxy).</x:v>
      </x:c>
      <x:c r="B35" s="10"/>
      <x:c r="C35" s="10"/>
      <x:c r="D35" s="10"/>
      <x:c r="E35" s="10"/>
      <x:c r="F35" s="10"/>
      <x:c r="G35" s="10"/>
    </x:row>
    <x:row r="36" ht="19" customHeight="1">
      <x:c r="A36" t="str">
        <x:v>Auto Parts global unlevered beta is industry bottom-up proxy, NOT a calculated ATMU/DCI/AUTO pure-peer beta.</x:v>
      </x:c>
      <x:c r="B36" s="10"/>
      <x:c r="C36" s="10"/>
      <x:c r="D36" s="10"/>
      <x:c r="E36" s="10"/>
      <x:c r="F36" s="10"/>
      <x:c r="G36" s="10"/>
    </x:row>
    <x:row r="37" ht="19" customHeight="1">
      <x:c r="A37" t="str">
        <x:v>WACC includes NCI as equity financing capital; no netting of excess cash against debt.</x:v>
      </x:c>
      <x:c r="B37" s="10"/>
      <x:c r="C37" s="10"/>
      <x:c r="D37" s="10"/>
      <x:c r="E37" s="10"/>
      <x:c r="F37" s="10"/>
      <x:c r="G37" s="10"/>
    </x:row>
    <x:row r="38" ht="19" customHeight="1">
      <x:c r="A38" t="str">
        <x:v>Low leverage means WACC tracks cost of equity. Scenario-specific WACC shifts in 03.</x:v>
      </x:c>
      <x:c r="B38" s="10"/>
      <x:c r="C38" s="10"/>
      <x:c r="D38" s="10"/>
      <x:c r="E38" s="10"/>
      <x:c r="F38" s="10"/>
      <x:c r="G38" s="10"/>
    </x:row>
    <x:row r="39" ht="19" customHeight="1">
      <x:c r="B39" s="10"/>
      <x:c r="C39" s="10"/>
      <x:c r="D39" s="10"/>
      <x:c r="E39" s="10"/>
      <x:c r="F39" s="10"/>
      <x:c r="G39" s="10"/>
    </x:row>
    <x:row r="40" ht="19" customHeight="1">
      <x:c r="B40" s="10"/>
      <x:c r="C40" s="10"/>
      <x:c r="D40" s="10"/>
      <x:c r="E40" s="10"/>
      <x:c r="F40" s="10"/>
      <x:c r="G40" s="10"/>
    </x:row>
    <x:row r="41" ht="19" customHeight="1">
      <x:c r="B41" s="10"/>
      <x:c r="C41" s="10"/>
      <x:c r="D41" s="10"/>
      <x:c r="E41" s="10"/>
      <x:c r="F41" s="10"/>
      <x:c r="G41" s="10"/>
    </x:row>
    <x:row r="42" ht="19" customHeight="1">
      <x:c r="B42" s="10"/>
      <x:c r="C42" s="10"/>
      <x:c r="D42" s="10"/>
      <x:c r="E42" s="10"/>
      <x:c r="F42" s="10"/>
      <x:c r="G42" s="10"/>
    </x:row>
    <x:row r="43" ht="19" customHeight="1">
      <x:c r="B43" s="10"/>
      <x:c r="C43" s="10"/>
      <x:c r="D43" s="10"/>
      <x:c r="E43" s="10"/>
      <x:c r="F43" s="10"/>
      <x:c r="G43" s="10"/>
    </x:row>
    <x:row r="44" ht="19" customHeight="1">
      <x:c r="B44" s="10"/>
      <x:c r="C44" s="10"/>
      <x:c r="D44" s="10"/>
      <x:c r="E44" s="10"/>
      <x:c r="F44" s="10"/>
      <x:c r="G44" s="10"/>
    </x:row>
    <x:row r="45" ht="19" customHeight="1">
      <x:c r="B45" s="10"/>
      <x:c r="C45" s="10"/>
      <x:c r="D45" s="10"/>
      <x:c r="E45" s="10"/>
      <x:c r="F45" s="10"/>
      <x:c r="G45" s="10"/>
    </x:row>
    <x:row r="46" ht="19" customHeight="1">
      <x:c r="B46" s="10"/>
      <x:c r="C46" s="10"/>
      <x:c r="D46" s="10"/>
      <x:c r="E46" s="10"/>
      <x:c r="F46" s="10"/>
      <x:c r="G46" s="10"/>
    </x:row>
    <x:row r="47" ht="19" customHeight="1">
      <x:c r="B47" s="10"/>
      <x:c r="C47" s="10"/>
      <x:c r="D47" s="10"/>
      <x:c r="E47" s="10"/>
      <x:c r="F47" s="10"/>
      <x:c r="G47" s="10"/>
    </x:row>
    <x:row r="48" ht="19" customHeight="1">
      <x:c r="B48" s="10"/>
      <x:c r="C48" s="10"/>
      <x:c r="D48" s="10"/>
      <x:c r="E48" s="10"/>
      <x:c r="F48" s="10"/>
      <x:c r="G48" s="10"/>
    </x:row>
    <x:row r="49" ht="19" customHeight="1">
      <x:c r="B49" s="10"/>
      <x:c r="C49" s="10"/>
      <x:c r="D49" s="10"/>
      <x:c r="E49" s="10"/>
      <x:c r="F49" s="10"/>
      <x:c r="G49" s="10"/>
    </x:row>
    <x:row r="50" ht="19" customHeight="1">
      <x:c r="B50" s="10"/>
      <x:c r="C50" s="10"/>
      <x:c r="D50" s="10"/>
      <x:c r="E50" s="10"/>
      <x:c r="F50" s="10"/>
      <x:c r="G50" s="10"/>
    </x:row>
    <x:row r="51" ht="19" customHeight="1">
      <x:c r="B51" s="10"/>
      <x:c r="C51" s="10"/>
      <x:c r="D51" s="10"/>
      <x:c r="E51" s="10"/>
      <x:c r="F51" s="10"/>
      <x:c r="G51" s="10"/>
    </x:row>
    <x:row r="52" ht="19" customHeight="1">
      <x:c r="B52" s="10"/>
      <x:c r="C52" s="10"/>
      <x:c r="D52" s="10"/>
      <x:c r="E52" s="10"/>
      <x:c r="F52" s="10"/>
      <x:c r="G52" s="10"/>
    </x:row>
    <x:row r="53" ht="19" customHeight="1">
      <x:c r="B53" s="10"/>
      <x:c r="C53" s="10"/>
      <x:c r="D53" s="10"/>
      <x:c r="E53" s="10"/>
      <x:c r="F53" s="10"/>
      <x:c r="G53" s="10"/>
    </x:row>
    <x:row r="54" ht="19" customHeight="1">
      <x:c r="B54" s="10"/>
      <x:c r="C54" s="10"/>
      <x:c r="D54" s="10"/>
      <x:c r="E54" s="10"/>
      <x:c r="F54" s="10"/>
      <x:c r="G54" s="10"/>
    </x:row>
    <x:row r="55" ht="19" customHeight="1">
      <x:c r="B55" s="10"/>
      <x:c r="C55" s="10"/>
      <x:c r="D55" s="10"/>
      <x:c r="E55" s="10"/>
      <x:c r="F55" s="10"/>
      <x:c r="G55" s="10"/>
    </x:row>
    <x:row r="56" ht="19" customHeight="1">
      <x:c r="B56" s="10"/>
      <x:c r="C56" s="10"/>
      <x:c r="D56" s="10"/>
      <x:c r="E56" s="10"/>
      <x:c r="F56" s="10"/>
      <x:c r="G56" s="10"/>
    </x:row>
    <x:row r="57" ht="19" customHeight="1">
      <x:c r="B57" s="10"/>
      <x:c r="C57" s="10"/>
      <x:c r="D57" s="10"/>
      <x:c r="E57" s="10"/>
      <x:c r="F57" s="10"/>
      <x:c r="G57" s="10"/>
    </x:row>
    <x:row r="58" ht="19" customHeight="1">
      <x:c r="B58" s="10"/>
      <x:c r="C58" s="10"/>
      <x:c r="D58" s="10"/>
      <x:c r="E58" s="10"/>
      <x:c r="F58" s="10"/>
      <x:c r="G58" s="10"/>
    </x:row>
    <x:row r="59" ht="19" customHeight="1">
      <x:c r="B59" s="10"/>
      <x:c r="C59" s="10"/>
      <x:c r="D59" s="10"/>
      <x:c r="E59" s="10"/>
      <x:c r="F59" s="10"/>
      <x:c r="G59" s="10"/>
    </x:row>
    <x:row r="60" ht="19" customHeight="1">
      <x:c r="B60" s="10"/>
      <x:c r="C60" s="10"/>
      <x:c r="D60" s="10"/>
      <x:c r="E60" s="10"/>
      <x:c r="F60" s="10"/>
      <x:c r="G60" s="10"/>
    </x:row>
    <x:row r="61" ht="19" customHeight="1">
      <x:c r="B61" s="10"/>
      <x:c r="C61" s="10"/>
      <x:c r="D61" s="10"/>
      <x:c r="E61" s="10"/>
      <x:c r="F61" s="10"/>
      <x:c r="G61" s="10"/>
    </x:row>
    <x:row r="62" ht="19" customHeight="1">
      <x:c r="B62" s="10"/>
      <x:c r="C62" s="10"/>
      <x:c r="D62" s="10"/>
      <x:c r="E62" s="10"/>
      <x:c r="F62" s="10"/>
      <x:c r="G62" s="10"/>
    </x:row>
    <x:row r="63" ht="19" customHeight="1">
      <x:c r="B63" s="10"/>
      <x:c r="C63" s="10"/>
      <x:c r="D63" s="10"/>
      <x:c r="E63" s="10"/>
      <x:c r="F63" s="10"/>
      <x:c r="G63" s="10"/>
    </x:row>
    <x:row r="64" ht="19" customHeight="1">
      <x:c r="B64" s="10"/>
      <x:c r="C64" s="10"/>
      <x:c r="D64" s="10"/>
      <x:c r="E64" s="10"/>
      <x:c r="F64" s="10"/>
      <x:c r="G64" s="10"/>
    </x:row>
    <x:row r="65" ht="19" customHeight="1">
      <x:c r="B65" s="10"/>
      <x:c r="C65" s="10"/>
      <x:c r="D65" s="10"/>
      <x:c r="E65" s="10"/>
      <x:c r="F65" s="10"/>
      <x:c r="G65" s="10"/>
    </x:row>
    <x:row r="66" ht="19" customHeight="1">
      <x:c r="B66" s="10"/>
      <x:c r="C66" s="10"/>
      <x:c r="D66" s="10"/>
      <x:c r="E66" s="10"/>
      <x:c r="F66" s="10"/>
      <x:c r="G66" s="10"/>
    </x:row>
    <x:row r="67" ht="19" customHeight="1">
      <x:c r="B67" s="10"/>
      <x:c r="C67" s="10"/>
      <x:c r="D67" s="10"/>
      <x:c r="E67" s="10"/>
      <x:c r="F67" s="10"/>
      <x:c r="G67" s="10"/>
    </x:row>
    <x:row r="68" ht="19" customHeight="1">
      <x:c r="B68" s="10"/>
      <x:c r="C68" s="10"/>
      <x:c r="D68" s="10"/>
      <x:c r="E68" s="10"/>
      <x:c r="F68" s="10"/>
      <x:c r="G68" s="10"/>
    </x:row>
    <x:row r="69" ht="19" customHeight="1">
      <x:c r="B69" s="10"/>
      <x:c r="C69" s="10"/>
      <x:c r="D69" s="10"/>
      <x:c r="E69" s="10"/>
      <x:c r="F69" s="10"/>
      <x:c r="G69" s="10"/>
    </x:row>
    <x:row r="70" ht="19" customHeight="1">
      <x:c r="B70" s="10"/>
      <x:c r="C70" s="10"/>
      <x:c r="D70" s="10"/>
      <x:c r="E70" s="10"/>
      <x:c r="F70" s="10"/>
      <x:c r="G70" s="10"/>
    </x:row>
    <x:row r="71" ht="19" customHeight="1">
      <x:c r="B71" s="10"/>
      <x:c r="C71" s="10"/>
      <x:c r="D71" s="10"/>
      <x:c r="E71" s="10"/>
      <x:c r="F71" s="10"/>
      <x:c r="G71" s="10"/>
    </x:row>
    <x:row r="72" ht="19" customHeight="1">
      <x:c r="B72" s="10"/>
      <x:c r="C72" s="10"/>
      <x:c r="D72" s="10"/>
      <x:c r="E72" s="10"/>
      <x:c r="F72" s="10"/>
      <x:c r="G72" s="10"/>
    </x:row>
    <x:row r="73" ht="19" customHeight="1">
      <x:c r="B73" s="10"/>
      <x:c r="C73" s="10"/>
      <x:c r="D73" s="10"/>
      <x:c r="E73" s="10"/>
      <x:c r="F73" s="10"/>
      <x:c r="G73" s="10"/>
    </x:row>
    <x:row r="74" ht="19" customHeight="1">
      <x:c r="B74" s="10"/>
      <x:c r="C74" s="10"/>
      <x:c r="D74" s="10"/>
      <x:c r="E74" s="10"/>
      <x:c r="F74" s="10"/>
      <x:c r="G74" s="10"/>
    </x:row>
    <x:row r="75" ht="19" customHeight="1">
      <x:c r="B75" s="10"/>
      <x:c r="C75" s="10"/>
      <x:c r="D75" s="10"/>
      <x:c r="E75" s="10"/>
      <x:c r="F75" s="10"/>
      <x:c r="G75" s="10"/>
    </x:row>
    <x:row r="76" ht="19" customHeight="1">
      <x:c r="B76" s="10"/>
      <x:c r="C76" s="10"/>
      <x:c r="D76" s="10"/>
      <x:c r="E76" s="10"/>
      <x:c r="F76" s="10"/>
      <x:c r="G76" s="10"/>
    </x:row>
    <x:row r="77" ht="19" customHeight="1">
      <x:c r="B77" s="10"/>
      <x:c r="C77" s="10"/>
      <x:c r="D77" s="10"/>
      <x:c r="E77" s="10"/>
      <x:c r="F77" s="10"/>
      <x:c r="G77" s="10"/>
    </x:row>
    <x:row r="78" ht="19" customHeight="1">
      <x:c r="B78" s="10"/>
      <x:c r="C78" s="10"/>
      <x:c r="D78" s="10"/>
      <x:c r="E78" s="10"/>
      <x:c r="F78" s="10"/>
      <x:c r="G78" s="10"/>
    </x:row>
    <x:row r="79" ht="19" customHeight="1">
      <x:c r="B79" s="10"/>
      <x:c r="C79" s="10"/>
      <x:c r="D79" s="10"/>
      <x:c r="E79" s="10"/>
      <x:c r="F79" s="10"/>
      <x:c r="G79" s="10"/>
    </x:row>
    <x:row r="80" ht="19" customHeight="1">
      <x:c r="B80" s="10"/>
      <x:c r="C80" s="10"/>
      <x:c r="D80" s="10"/>
      <x:c r="E80" s="10"/>
      <x:c r="F80" s="10"/>
      <x:c r="G80" s="10"/>
    </x:row>
    <x:row r="81" ht="19" customHeight="1">
      <x:c r="B81" s="10"/>
      <x:c r="C81" s="10"/>
      <x:c r="D81" s="10"/>
      <x:c r="E81" s="10"/>
      <x:c r="F81" s="10"/>
      <x:c r="G81" s="10"/>
    </x:row>
    <x:row r="82" ht="19" customHeight="1">
      <x:c r="B82" s="10"/>
      <x:c r="C82" s="10"/>
      <x:c r="D82" s="10"/>
      <x:c r="E82" s="10"/>
      <x:c r="F82" s="10"/>
      <x:c r="G82" s="10"/>
    </x:row>
    <x:row r="83" ht="19" customHeight="1">
      <x:c r="B83" s="10"/>
      <x:c r="C83" s="10"/>
      <x:c r="D83" s="10"/>
      <x:c r="E83" s="10"/>
      <x:c r="F83" s="10"/>
      <x:c r="G83" s="10"/>
    </x:row>
    <x:row r="84" ht="19" customHeight="1">
      <x:c r="B84" s="10"/>
      <x:c r="C84" s="10"/>
      <x:c r="D84" s="10"/>
      <x:c r="E84" s="10"/>
      <x:c r="F84" s="10"/>
      <x:c r="G84" s="10"/>
    </x:row>
    <x:row r="85" ht="19" customHeight="1">
      <x:c r="B85" s="10"/>
      <x:c r="C85" s="10"/>
      <x:c r="D85" s="10"/>
      <x:c r="E85" s="10"/>
      <x:c r="F85" s="10"/>
      <x:c r="G85" s="10"/>
    </x:row>
    <x:row r="86" ht="19" customHeight="1">
      <x:c r="B86" s="10"/>
      <x:c r="C86" s="10"/>
      <x:c r="D86" s="10"/>
      <x:c r="E86" s="10"/>
      <x:c r="F86" s="10"/>
      <x:c r="G86" s="10"/>
    </x:row>
    <x:row r="87" ht="19" customHeight="1">
      <x:c r="B87" s="10"/>
      <x:c r="C87" s="10"/>
      <x:c r="D87" s="10"/>
      <x:c r="E87" s="10"/>
      <x:c r="F87" s="10"/>
      <x:c r="G87" s="10"/>
    </x:row>
    <x:row r="88" ht="19" customHeight="1">
      <x:c r="B88" s="10"/>
      <x:c r="C88" s="10"/>
      <x:c r="D88" s="10"/>
      <x:c r="E88" s="10"/>
      <x:c r="F88" s="10"/>
      <x:c r="G88" s="10"/>
    </x:row>
    <x:row r="89" ht="19" customHeight="1">
      <x:c r="B89" s="10"/>
      <x:c r="C89" s="10"/>
      <x:c r="D89" s="10"/>
      <x:c r="E89" s="10"/>
      <x:c r="F89" s="10"/>
      <x:c r="G89" s="10"/>
    </x:row>
    <x:row r="90" ht="19" customHeight="1">
      <x:c r="B90" s="10"/>
      <x:c r="C90" s="10"/>
      <x:c r="D90" s="10"/>
      <x:c r="E90" s="10"/>
      <x:c r="F90" s="10"/>
      <x:c r="G90" s="10"/>
    </x:row>
  </x:sheetData>
  <x:mergeCells>
    <x:mergeCell ref="A1:G2"/>
    <x:mergeCell ref="A3:G3"/>
    <x:mergeCell ref="A5:G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5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7" customHeight="1">
      <x:c r="A1" s="3" t="str">
        <x:v>07 DCF Valuation</x:v>
      </x:c>
      <x:c r="B1" s="3"/>
      <x:c r="C1" s="3"/>
      <x:c r="D1" s="3"/>
      <x:c r="E1" s="3"/>
      <x:c r="F1" s="3"/>
      <x:c r="G1" s="3"/>
      <x:c r="H1" s="3"/>
    </x:row>
    <x:row r="2" ht="27" customHeight="1">
      <x:c r="A2" s="3"/>
      <x:c r="B2" s="3"/>
      <x:c r="C2" s="3"/>
      <x:c r="D2" s="3"/>
      <x:c r="E2" s="3"/>
      <x:c r="F2" s="3"/>
      <x:c r="G2" s="3"/>
      <x:c r="H2" s="3"/>
    </x:row>
    <x:row r="3" ht="19" customHeight="1">
      <x:c r="A3" s="7" t="str">
        <x:v>Post-valuation-date FCFF • 23 Oct 2026 to 31 Dec 2031 • Rp million</x:v>
      </x:c>
      <x:c r="B3" s="7"/>
      <x:c r="C3" s="7"/>
      <x:c r="D3" s="7"/>
      <x:c r="E3" s="7"/>
      <x:c r="F3" s="7"/>
      <x:c r="G3" s="7"/>
      <x:c r="H3" s="7"/>
    </x:row>
    <x:row r="4" ht="19" customHeight="1"/>
    <x:row r="5" ht="19" customHeight="1">
      <x:c r="B5" s="10"/>
      <x:c r="C5" s="10"/>
      <x:c r="D5" s="10"/>
      <x:c r="E5" s="10"/>
      <x:c r="F5" s="10"/>
      <x:c r="G5" s="10"/>
      <x:c r="H5" s="10"/>
    </x:row>
    <x:row r="6" ht="19" customHeight="1">
      <x:c r="A6" s="14" t="str">
        <x:v>BEAR DCF</x:v>
      </x:c>
      <x:c r="B6" s="15"/>
      <x:c r="C6" s="15"/>
      <x:c r="D6" s="15"/>
      <x:c r="E6" s="15"/>
      <x:c r="F6" s="15"/>
      <x:c r="G6" s="15"/>
      <x:c r="H6" s="15"/>
    </x:row>
    <x:row r="7" ht="19" customHeight="1">
      <x:c r="B7" s="10" t="str">
        <x:v>Stub 2026</x:v>
      </x:c>
      <x:c r="C7" s="10" t="str">
        <x:v>FY2027</x:v>
      </x:c>
      <x:c r="D7" s="10" t="str">
        <x:v>FY2028</x:v>
      </x:c>
      <x:c r="E7" s="10" t="str">
        <x:v>FY2029</x:v>
      </x:c>
      <x:c r="F7" s="10" t="str">
        <x:v>FY2030</x:v>
      </x:c>
      <x:c r="G7" s="10" t="str">
        <x:v>FY2031</x:v>
      </x:c>
      <x:c r="H7" s="10"/>
    </x:row>
    <x:row r="8" ht="19" customHeight="1">
      <x:c r="A8" t="str">
        <x:v>Forecast full-year FCFF</x:v>
      </x:c>
      <x:c r="B8" s="34" t="n">
        <x:f>'04 Financial Forecast'!C21</x:f>
        <x:v>771843.213161</x:v>
      </x:c>
      <x:c r="C8" s="34" t="n">
        <x:f>'04 Financial Forecast'!D21</x:f>
        <x:v>952618.6361902519</x:v>
      </x:c>
      <x:c r="D8" s="34" t="n">
        <x:f>'04 Financial Forecast'!E21</x:f>
        <x:v>963249.37763501</x:v>
      </x:c>
      <x:c r="E8" s="34" t="n">
        <x:f>'04 Financial Forecast'!F21</x:f>
        <x:v>973924.3012830808</x:v>
      </x:c>
      <x:c r="F8" s="34" t="n">
        <x:f>'04 Financial Forecast'!G21</x:f>
        <x:v>984640.9221260224</x:v>
      </x:c>
      <x:c r="G8" s="34" t="n">
        <x:f>'04 Financial Forecast'!H21</x:f>
        <x:v>995396.6380821676</x:v>
      </x:c>
      <x:c r="H8" s="10"/>
    </x:row>
    <x:row r="9" ht="19" customHeight="1">
      <x:c r="A9" t="str">
        <x:v>Future fraction / total year</x:v>
      </x:c>
      <x:c r="B9" s="28" t="n">
        <x:f>(DATE(2026,12,31)-DATE(2026,10,23))/365</x:f>
        <x:v>0.18904109589041096</x:v>
      </x:c>
      <x:c r="C9" s="28" t="n">
        <x:f>1</x:f>
        <x:v>1</x:v>
      </x:c>
      <x:c r="D9" s="28" t="n">
        <x:f>1</x:f>
        <x:v>1</x:v>
      </x:c>
      <x:c r="E9" s="28" t="n">
        <x:f>1</x:f>
        <x:v>1</x:v>
      </x:c>
      <x:c r="F9" s="28" t="n">
        <x:f>1</x:f>
        <x:v>1</x:v>
      </x:c>
      <x:c r="G9" s="28" t="n">
        <x:f>1</x:f>
        <x:v>1</x:v>
      </x:c>
      <x:c r="H9" s="10"/>
    </x:row>
    <x:row r="10" ht="19" customHeight="1">
      <x:c r="A10" t="str">
        <x:v>Cash flow post-valuation date</x:v>
      </x:c>
      <x:c r="B10" s="26" t="n">
        <x:f>B8*B9</x:f>
        <x:v>145910.08687153153</x:v>
      </x:c>
      <x:c r="C10" s="26" t="n">
        <x:f>C8*C9</x:f>
        <x:v>952618.6361902519</x:v>
      </x:c>
      <x:c r="D10" s="26" t="n">
        <x:f>D8*D9</x:f>
        <x:v>963249.37763501</x:v>
      </x:c>
      <x:c r="E10" s="26" t="n">
        <x:f>E8*E9</x:f>
        <x:v>973924.3012830808</x:v>
      </x:c>
      <x:c r="F10" s="26" t="n">
        <x:f>F8*F9</x:f>
        <x:v>984640.9221260224</x:v>
      </x:c>
      <x:c r="G10" s="26" t="n">
        <x:f>G8*G9</x:f>
        <x:v>995396.6380821676</x:v>
      </x:c>
      <x:c r="H10" s="10"/>
    </x:row>
    <x:row r="11" ht="19" customHeight="1">
      <x:c r="A11" t="str">
        <x:v>Discount horizon (years)</x:v>
      </x:c>
      <x:c r="B11" s="26" t="n">
        <x:f>(DATE(2026,12,31)-DATE(2026,10,23))/365/2</x:f>
        <x:v>0.09452054794520548</x:v>
      </x:c>
      <x:c r="C11" s="26" t="n">
        <x:f>0+(DATE(2027,7,1)-DATE(2026,10,23))/365</x:f>
        <x:v>0.6876712328767123</x:v>
      </x:c>
      <x:c r="D11" s="26" t="n">
        <x:f>1+(DATE(2027,7,1)-DATE(2026,10,23))/365</x:f>
        <x:v>1.6876712328767123</x:v>
      </x:c>
      <x:c r="E11" s="26" t="n">
        <x:f>2+(DATE(2027,7,1)-DATE(2026,10,23))/365</x:f>
        <x:v>2.6876712328767125</x:v>
      </x:c>
      <x:c r="F11" s="26" t="n">
        <x:f>3+(DATE(2027,7,1)-DATE(2026,10,23))/365</x:f>
        <x:v>3.6876712328767125</x:v>
      </x:c>
      <x:c r="G11" s="26" t="n">
        <x:f>4+(DATE(2027,7,1)-DATE(2026,10,23))/365</x:f>
        <x:v>4.6876712328767125</x:v>
      </x:c>
      <x:c r="H11" s="10"/>
    </x:row>
    <x:row r="12" ht="19" customHeight="1">
      <x:c r="A12" t="str">
        <x:v>Scenario WACC</x:v>
      </x:c>
      <x:c r="B12" s="38" t="n">
        <x:f>'06 Cost of Equity &amp; WACC'!B30+'03 Forecast Assumptions'!B19</x:f>
        <x:v>0.12968188282959414</x:v>
      </x:c>
      <x:c r="C12" s="38" t="n">
        <x:f>'06 Cost of Equity &amp; WACC'!B30+'03 Forecast Assumptions'!B19</x:f>
        <x:v>0.12968188282959414</x:v>
      </x:c>
      <x:c r="D12" s="38" t="n">
        <x:f>'06 Cost of Equity &amp; WACC'!B30+'03 Forecast Assumptions'!B19</x:f>
        <x:v>0.12968188282959414</x:v>
      </x:c>
      <x:c r="E12" s="38" t="n">
        <x:f>'06 Cost of Equity &amp; WACC'!B30+'03 Forecast Assumptions'!B19</x:f>
        <x:v>0.12968188282959414</x:v>
      </x:c>
      <x:c r="F12" s="38" t="n">
        <x:f>'06 Cost of Equity &amp; WACC'!B30+'03 Forecast Assumptions'!B19</x:f>
        <x:v>0.12968188282959414</x:v>
      </x:c>
      <x:c r="G12" s="38" t="n">
        <x:f>'06 Cost of Equity &amp; WACC'!B30+'03 Forecast Assumptions'!B19</x:f>
        <x:v>0.12968188282959414</x:v>
      </x:c>
      <x:c r="H12" s="10"/>
    </x:row>
    <x:row r="13" ht="19" customHeight="1">
      <x:c r="A13" t="str">
        <x:v>Discount factor</x:v>
      </x:c>
      <x:c r="B13" s="26" t="n">
        <x:f>1/(1+B12)^B11</x:f>
        <x:v>0.9885406992538229</x:v>
      </x:c>
      <x:c r="C13" s="26" t="n">
        <x:f>1/(1+C12)^C11</x:f>
        <x:v>0.9195674063833894</x:v>
      </x:c>
      <x:c r="D13" s="26" t="n">
        <x:f>1/(1+D12)^D11</x:f>
        <x:v>0.814005624379922</x:v>
      </x:c>
      <x:c r="E13" s="26" t="n">
        <x:f>1/(1+E12)^E11</x:f>
        <x:v>0.7205618119156026</x:v>
      </x:c>
      <x:c r="F13" s="26" t="n">
        <x:f>1/(1+F12)^F11</x:f>
        <x:v>0.6378448861291469</x:v>
      </x:c>
      <x:c r="G13" s="26" t="n">
        <x:f>1/(1+G12)^G11</x:f>
        <x:v>0.5646234535792428</x:v>
      </x:c>
      <x:c r="H13" s="10"/>
    </x:row>
    <x:row r="14" ht="19" customHeight="1">
      <x:c r="A14" t="str">
        <x:v>Present value of cash flow</x:v>
      </x:c>
      <x:c r="B14" s="26" t="n">
        <x:f>B10*B13</x:f>
        <x:v>144238.05930416982</x:v>
      </x:c>
      <x:c r="C14" s="26" t="n">
        <x:f>C10*C13</x:f>
        <x:v>875997.0485539516</x:v>
      </x:c>
      <x:c r="D14" s="26" t="n">
        <x:f>D10*D13</x:f>
        <x:v>784090.4110753576</x:v>
      </x:c>
      <x:c r="E14" s="26" t="n">
        <x:f>E10*E13</x:f>
        <x:v>701772.659201174</x:v>
      </x:c>
      <x:c r="F14" s="26" t="n">
        <x:f>F10*F13</x:f>
        <x:v>628048.176851571</x:v>
      </x:c>
      <x:c r="G14" s="26" t="n">
        <x:f>G10*G13</x:f>
        <x:v>562024.2874751211</x:v>
      </x:c>
      <x:c r="H14" s="10"/>
    </x:row>
    <x:row r="15" ht="19" customHeight="1">
      <x:c r="B15" s="10"/>
      <x:c r="C15" s="10"/>
      <x:c r="D15" s="10"/>
      <x:c r="E15" s="10"/>
      <x:c r="F15" s="10"/>
      <x:c r="G15" s="10"/>
      <x:c r="H15" s="10"/>
    </x:row>
    <x:row r="16" ht="19" customHeight="1">
      <x:c r="A16" t="str">
        <x:v>PV explicit forecast FCFF</x:v>
      </x:c>
      <x:c r="B16" s="26" t="n">
        <x:f>SUM(B14:G14)</x:f>
        <x:v>3696170.642461345</x:v>
      </x:c>
      <x:c r="C16" s="10"/>
      <x:c r="D16" s="10"/>
      <x:c r="E16" s="10"/>
      <x:c r="F16" s="10"/>
      <x:c r="G16" s="10"/>
      <x:c r="H16" s="10"/>
    </x:row>
    <x:row r="17" ht="19" customHeight="1">
      <x:c r="A17" t="str">
        <x:v>Terminal g</x:v>
      </x:c>
      <x:c r="B17" s="38" t="n">
        <x:f>'03 Forecast Assumptions'!B17</x:f>
        <x:v>0.02</x:v>
      </x:c>
      <x:c r="C17" s="40"/>
      <x:c r="D17" s="40"/>
      <x:c r="E17" s="40"/>
      <x:c r="F17" s="40"/>
      <x:c r="G17" s="40"/>
      <x:c r="H17" s="10"/>
    </x:row>
    <x:row r="18" ht="19" customHeight="1">
      <x:c r="A18" t="str">
        <x:v>Stable ROIC</x:v>
      </x:c>
      <x:c r="B18" s="38" t="n">
        <x:f>'03 Forecast Assumptions'!B18</x:f>
        <x:v>0.115</x:v>
      </x:c>
      <x:c r="C18" s="40"/>
      <x:c r="D18" s="40"/>
      <x:c r="E18" s="40"/>
      <x:c r="F18" s="40"/>
      <x:c r="G18" s="40"/>
      <x:c r="H18" s="10"/>
    </x:row>
    <x:row r="19" ht="19" customHeight="1">
      <x:c r="A19" t="str">
        <x:v>Terminal EBIT</x:v>
      </x:c>
      <x:c r="B19" s="34" t="n">
        <x:f>'04 Financial Forecast'!H11*(1+B17)</x:f>
        <x:v>1487754.408027749</x:v>
      </x:c>
      <x:c r="C19" s="10"/>
      <x:c r="D19" s="10"/>
      <x:c r="E19" s="10"/>
      <x:c r="F19" s="10"/>
      <x:c r="G19" s="10"/>
      <x:c r="H19" s="10"/>
    </x:row>
    <x:row r="20" ht="19" customHeight="1">
      <x:c r="A20" t="str">
        <x:v>Terminal NOPAT</x:v>
      </x:c>
      <x:c r="B20" s="34" t="n">
        <x:f>B19*(1-'03 Forecast Assumptions'!B12)</x:f>
        <x:v>1160448.4382616442</x:v>
      </x:c>
      <x:c r="C20" s="10"/>
      <x:c r="D20" s="10"/>
      <x:c r="E20" s="10"/>
      <x:c r="F20" s="10"/>
      <x:c r="G20" s="10"/>
      <x:c r="H20" s="10"/>
    </x:row>
    <x:row r="21" ht="19" customHeight="1">
      <x:c r="A21" t="str">
        <x:v>Terminal reinvestment rate = g/ROIC</x:v>
      </x:c>
      <x:c r="B21" s="28" t="n">
        <x:f>B17/B18</x:f>
        <x:v>0.17391304347826086</x:v>
      </x:c>
      <x:c r="C21" s="40"/>
      <x:c r="D21" s="40"/>
      <x:c r="E21" s="40"/>
      <x:c r="F21" s="40"/>
      <x:c r="G21" s="40"/>
      <x:c r="H21" s="10"/>
    </x:row>
    <x:row r="22" ht="19" customHeight="1">
      <x:c r="A22" t="str">
        <x:v>Terminal FCFF FY2032</x:v>
      </x:c>
      <x:c r="B22" s="26" t="n">
        <x:f>B20*(1-B21)</x:f>
        <x:v>958631.318563967</x:v>
      </x:c>
      <x:c r="C22" s="10"/>
      <x:c r="D22" s="10"/>
      <x:c r="E22" s="10"/>
      <x:c r="F22" s="10"/>
      <x:c r="G22" s="10"/>
      <x:c r="H22" s="10"/>
    </x:row>
    <x:row r="23" ht="19" customHeight="1">
      <x:c r="A23" t="str">
        <x:v>Terminal enterprise value FY2031</x:v>
      </x:c>
      <x:c r="B23" s="26" t="n">
        <x:f>IF(G12&gt;B17,B22/(G12-B17),0)</x:f>
        <x:v>8740106.33144703</x:v>
      </x:c>
      <x:c r="C23" s="10"/>
      <x:c r="D23" s="10"/>
      <x:c r="E23" s="10"/>
      <x:c r="F23" s="10"/>
      <x:c r="G23" s="10"/>
      <x:c r="H23" s="10"/>
    </x:row>
    <x:row r="24" ht="19" customHeight="1">
      <x:c r="A24" t="str">
        <x:v>Terminal discount horizon</x:v>
      </x:c>
      <x:c r="B24" s="26" t="n">
        <x:f>(DATE(2031,12,31)-DATE(2026,10,23))/365</x:f>
        <x:v>5.191780821917808</x:v>
      </x:c>
      <x:c r="C24" s="10"/>
      <x:c r="D24" s="10"/>
      <x:c r="E24" s="10"/>
      <x:c r="F24" s="10"/>
      <x:c r="G24" s="10"/>
      <x:c r="H24" s="10"/>
    </x:row>
    <x:row r="25" ht="19" customHeight="1">
      <x:c r="A25" t="str">
        <x:v>PV terminal value</x:v>
      </x:c>
      <x:c r="B25" s="26" t="n">
        <x:f>B23/(1+G12)^B24</x:f>
        <x:v>4640661.811795334</x:v>
      </x:c>
      <x:c r="C25" s="10"/>
      <x:c r="D25" s="10"/>
      <x:c r="E25" s="10"/>
      <x:c r="F25" s="10"/>
      <x:c r="G25" s="10"/>
      <x:c r="H25" s="10"/>
    </x:row>
    <x:row r="26" ht="19" customHeight="1">
      <x:c r="A26" t="str">
        <x:v>Consolidated operating enterprise value</x:v>
      </x:c>
      <x:c r="B26" s="26" t="n">
        <x:f>B16+B25</x:f>
        <x:v>8336832.45425668</x:v>
      </x:c>
      <x:c r="C26" s="10"/>
      <x:c r="D26" s="10"/>
      <x:c r="E26" s="10"/>
      <x:c r="F26" s="10"/>
      <x:c r="G26" s="10"/>
      <x:c r="H26" s="10"/>
    </x:row>
    <x:row r="27" ht="19" customHeight="1">
      <x:c r="A27" t="str">
        <x:v>Terminal % of enterprise value</x:v>
      </x:c>
      <x:c r="B27" s="28" t="n">
        <x:f>IFERROR(B25/B26,0)</x:f>
        <x:v>0.5566456849478691</x:v>
      </x:c>
      <x:c r="C27" s="40"/>
      <x:c r="D27" s="40"/>
      <x:c r="E27" s="40"/>
      <x:c r="F27" s="40"/>
      <x:c r="G27" s="40"/>
      <x:c r="H27" s="10"/>
    </x:row>
    <x:row r="28" ht="19" customHeight="1">
      <x:c r="A28" t="str">
        <x:v>Equity bridge adjusted for scenario</x:v>
      </x:c>
      <x:c r="B28" s="34" t="n">
        <x:f>'08 Equity Bridge'!B39+'08 Equity Bridge'!B15*('03 Forecast Assumptions'!C20-'03 Forecast Assumptions'!B20)+('03 Forecast Assumptions'!C21-'03 Forecast Assumptions'!B21)*'04 Financial Forecast'!C31+'03 Forecast Assumptions'!B22</x:f>
        <x:v>-221201.0742740938</x:v>
      </x:c>
      <x:c r="C28" s="10"/>
      <x:c r="D28" s="10"/>
      <x:c r="E28" s="10"/>
      <x:c r="F28" s="10"/>
      <x:c r="G28" s="10"/>
      <x:c r="H28" s="10"/>
    </x:row>
    <x:row r="29" ht="19" customHeight="1">
      <x:c r="A29" t="str">
        <x:v>Parent common equity value</x:v>
      </x:c>
      <x:c r="B29" s="26" t="n">
        <x:f>B26+B28</x:f>
        <x:v>8115631.379982586</x:v>
      </x:c>
      <x:c r="C29" s="10"/>
      <x:c r="D29" s="10"/>
      <x:c r="E29" s="10"/>
      <x:c r="F29" s="10"/>
      <x:c r="G29" s="10"/>
      <x:c r="H29" s="10"/>
    </x:row>
    <x:row r="30" ht="19" customHeight="1">
      <x:c r="A30" t="str">
        <x:v>Fair value/share (Rp)</x:v>
      </x:c>
      <x:c r="B30" s="42" t="n">
        <x:f>B29*1000000/'08 Equity Bridge'!B10</x:f>
        <x:v>1409.2878587341581</x:v>
      </x:c>
      <x:c r="C30" s="10"/>
      <x:c r="D30" s="10"/>
      <x:c r="E30" s="10"/>
      <x:c r="F30" s="10"/>
      <x:c r="G30" s="10"/>
      <x:c r="H30" s="10"/>
    </x:row>
    <x:row r="31" ht="19" customHeight="1">
      <x:c r="A31" t="str">
        <x:v>Upside/(downside) vs market</x:v>
      </x:c>
      <x:c r="B31" s="38" t="n">
        <x:f>B30/'08 Equity Bridge'!B6-1</x:f>
        <x:v>-0.1561150546502047</x:v>
      </x:c>
      <x:c r="C31" s="40"/>
      <x:c r="D31" s="40"/>
      <x:c r="E31" s="40"/>
      <x:c r="F31" s="40"/>
      <x:c r="G31" s="40"/>
      <x:c r="H31" s="10"/>
    </x:row>
    <x:row r="32" ht="19" customHeight="1">
      <x:c r="B32" s="10"/>
      <x:c r="C32" s="10"/>
      <x:c r="D32" s="10"/>
      <x:c r="E32" s="10"/>
      <x:c r="F32" s="10"/>
      <x:c r="G32" s="10"/>
      <x:c r="H32" s="10"/>
    </x:row>
    <x:row r="33" ht="19" customHeight="1">
      <x:c r="B33" s="10"/>
      <x:c r="C33" s="10"/>
      <x:c r="D33" s="10"/>
      <x:c r="E33" s="10"/>
      <x:c r="F33" s="10"/>
      <x:c r="G33" s="10"/>
      <x:c r="H33" s="10"/>
    </x:row>
    <x:row r="34" ht="19" customHeight="1">
      <x:c r="B34" s="10"/>
      <x:c r="C34" s="10"/>
      <x:c r="D34" s="10"/>
      <x:c r="E34" s="10"/>
      <x:c r="F34" s="10"/>
      <x:c r="G34" s="10"/>
      <x:c r="H34" s="10"/>
    </x:row>
    <x:row r="35" ht="19" customHeight="1">
      <x:c r="A35" s="14" t="str">
        <x:v>BASE DCF</x:v>
      </x:c>
      <x:c r="B35" s="15"/>
      <x:c r="C35" s="15"/>
      <x:c r="D35" s="15"/>
      <x:c r="E35" s="15"/>
      <x:c r="F35" s="15"/>
      <x:c r="G35" s="15"/>
      <x:c r="H35" s="15"/>
    </x:row>
    <x:row r="36" ht="19" customHeight="1">
      <x:c r="B36" s="10" t="str">
        <x:v>Stub 2026</x:v>
      </x:c>
      <x:c r="C36" s="10" t="str">
        <x:v>FY2027</x:v>
      </x:c>
      <x:c r="D36" s="10" t="str">
        <x:v>FY2028</x:v>
      </x:c>
      <x:c r="E36" s="10" t="str">
        <x:v>FY2029</x:v>
      </x:c>
      <x:c r="F36" s="10" t="str">
        <x:v>FY2030</x:v>
      </x:c>
      <x:c r="G36" s="10" t="str">
        <x:v>FY2031</x:v>
      </x:c>
      <x:c r="H36" s="10"/>
    </x:row>
    <x:row r="37" ht="19" customHeight="1">
      <x:c r="A37" t="str">
        <x:v>Forecast full-year FCFF</x:v>
      </x:c>
      <x:c r="B37" s="34" t="n">
        <x:f>'04 Financial Forecast'!C44</x:f>
        <x:v>1071209.7468104854</x:v>
      </x:c>
      <x:c r="C37" s="34" t="n">
        <x:f>'04 Financial Forecast'!D44</x:f>
        <x:v>1126399.3396234047</x:v>
      </x:c>
      <x:c r="D37" s="34" t="n">
        <x:f>'04 Financial Forecast'!E44</x:f>
        <x:v>1171333.1920873239</x:v>
      </x:c>
      <x:c r="E37" s="34" t="n">
        <x:f>'04 Financial Forecast'!F44</x:f>
        <x:v>1215115.8724501682</x:v>
      </x:c>
      <x:c r="F37" s="34" t="n">
        <x:f>'04 Financial Forecast'!G44</x:f>
        <x:v>1257481.4724874967</x:v>
      </x:c>
      <x:c r="G37" s="34" t="n">
        <x:f>'04 Financial Forecast'!H44</x:f>
        <x:v>1298164.167180058</x:v>
      </x:c>
      <x:c r="H37" s="10"/>
    </x:row>
    <x:row r="38" ht="19" customHeight="1">
      <x:c r="A38" t="str">
        <x:v>Future fraction / total year</x:v>
      </x:c>
      <x:c r="B38" s="28" t="n">
        <x:f>(DATE(2026,12,31)-DATE(2026,10,23))/365</x:f>
        <x:v>0.18904109589041096</x:v>
      </x:c>
      <x:c r="C38" s="28" t="n">
        <x:f>1</x:f>
        <x:v>1</x:v>
      </x:c>
      <x:c r="D38" s="28" t="n">
        <x:f>1</x:f>
        <x:v>1</x:v>
      </x:c>
      <x:c r="E38" s="28" t="n">
        <x:f>1</x:f>
        <x:v>1</x:v>
      </x:c>
      <x:c r="F38" s="28" t="n">
        <x:f>1</x:f>
        <x:v>1</x:v>
      </x:c>
      <x:c r="G38" s="28" t="n">
        <x:f>1</x:f>
        <x:v>1</x:v>
      </x:c>
      <x:c r="H38" s="10"/>
    </x:row>
    <x:row r="39" ht="19" customHeight="1">
      <x:c r="A39" t="str">
        <x:v>Cash flow post-valuation date</x:v>
      </x:c>
      <x:c r="B39" s="26" t="n">
        <x:f>B37*B38</x:f>
        <x:v>202502.6644655438</x:v>
      </x:c>
      <x:c r="C39" s="26" t="n">
        <x:f>C37*C38</x:f>
        <x:v>1126399.3396234047</x:v>
      </x:c>
      <x:c r="D39" s="26" t="n">
        <x:f>D37*D38</x:f>
        <x:v>1171333.1920873239</x:v>
      </x:c>
      <x:c r="E39" s="26" t="n">
        <x:f>E37*E38</x:f>
        <x:v>1215115.8724501682</x:v>
      </x:c>
      <x:c r="F39" s="26" t="n">
        <x:f>F37*F38</x:f>
        <x:v>1257481.4724874967</x:v>
      </x:c>
      <x:c r="G39" s="26" t="n">
        <x:f>G37*G38</x:f>
        <x:v>1298164.167180058</x:v>
      </x:c>
      <x:c r="H39" s="10"/>
    </x:row>
    <x:row r="40" ht="19" customHeight="1">
      <x:c r="A40" t="str">
        <x:v>Discount horizon (years)</x:v>
      </x:c>
      <x:c r="B40" s="26" t="n">
        <x:f>(DATE(2026,12,31)-DATE(2026,10,23))/365/2</x:f>
        <x:v>0.09452054794520548</x:v>
      </x:c>
      <x:c r="C40" s="26" t="n">
        <x:f>0+(DATE(2027,7,1)-DATE(2026,10,23))/365</x:f>
        <x:v>0.6876712328767123</x:v>
      </x:c>
      <x:c r="D40" s="26" t="n">
        <x:f>1+(DATE(2027,7,1)-DATE(2026,10,23))/365</x:f>
        <x:v>1.6876712328767123</x:v>
      </x:c>
      <x:c r="E40" s="26" t="n">
        <x:f>2+(DATE(2027,7,1)-DATE(2026,10,23))/365</x:f>
        <x:v>2.6876712328767125</x:v>
      </x:c>
      <x:c r="F40" s="26" t="n">
        <x:f>3+(DATE(2027,7,1)-DATE(2026,10,23))/365</x:f>
        <x:v>3.6876712328767125</x:v>
      </x:c>
      <x:c r="G40" s="26" t="n">
        <x:f>4+(DATE(2027,7,1)-DATE(2026,10,23))/365</x:f>
        <x:v>4.6876712328767125</x:v>
      </x:c>
      <x:c r="H40" s="10"/>
    </x:row>
    <x:row r="41" ht="19" customHeight="1">
      <x:c r="A41" t="str">
        <x:v>Scenario WACC</x:v>
      </x:c>
      <x:c r="B41" s="38" t="n">
        <x:f>'06 Cost of Equity &amp; WACC'!B30+'03 Forecast Assumptions'!C19</x:f>
        <x:v>0.11968188282959415</x:v>
      </x:c>
      <x:c r="C41" s="38" t="n">
        <x:f>'06 Cost of Equity &amp; WACC'!B30+'03 Forecast Assumptions'!C19</x:f>
        <x:v>0.11968188282959415</x:v>
      </x:c>
      <x:c r="D41" s="38" t="n">
        <x:f>'06 Cost of Equity &amp; WACC'!B30+'03 Forecast Assumptions'!C19</x:f>
        <x:v>0.11968188282959415</x:v>
      </x:c>
      <x:c r="E41" s="38" t="n">
        <x:f>'06 Cost of Equity &amp; WACC'!B30+'03 Forecast Assumptions'!C19</x:f>
        <x:v>0.11968188282959415</x:v>
      </x:c>
      <x:c r="F41" s="38" t="n">
        <x:f>'06 Cost of Equity &amp; WACC'!B30+'03 Forecast Assumptions'!C19</x:f>
        <x:v>0.11968188282959415</x:v>
      </x:c>
      <x:c r="G41" s="38" t="n">
        <x:f>'06 Cost of Equity &amp; WACC'!B30+'03 Forecast Assumptions'!C19</x:f>
        <x:v>0.11968188282959415</x:v>
      </x:c>
      <x:c r="H41" s="10"/>
    </x:row>
    <x:row r="42" ht="19" customHeight="1">
      <x:c r="A42" t="str">
        <x:v>Discount factor</x:v>
      </x:c>
      <x:c r="B42" s="26" t="n">
        <x:f>1/(1+B41)^B40</x:f>
        <x:v>0.9893718436016973</x:v>
      </x:c>
      <x:c r="C42" s="26" t="n">
        <x:f>1/(1+C41)^C40</x:f>
        <x:v>0.9252072360879094</x:v>
      </x:c>
      <x:c r="D42" s="26" t="n">
        <x:f>1/(1+D41)^D40</x:f>
        <x:v>0.8263125895631893</x:v>
      </x:c>
      <x:c r="E42" s="26" t="n">
        <x:f>1/(1+E41)^E40</x:f>
        <x:v>0.7379887111104992</x:v>
      </x:c>
      <x:c r="F42" s="26" t="n">
        <x:f>1/(1+F41)^F40</x:f>
        <x:v>0.6591056999560425</x:v>
      </x:c>
      <x:c r="G42" s="26" t="n">
        <x:f>1/(1+G41)^G40</x:f>
        <x:v>0.5886544294977689</x:v>
      </x:c>
      <x:c r="H42" s="10"/>
    </x:row>
    <x:row r="43" ht="19" customHeight="1">
      <x:c r="A43" t="str">
        <x:v>Present value of cash flow</x:v>
      </x:c>
      <x:c r="B43" s="26" t="n">
        <x:f>B39*B42</x:f>
        <x:v>200350.434476531</x:v>
      </x:c>
      <x:c r="C43" s="26" t="n">
        <x:f>C39*C42</x:f>
        <x:v>1042152.8197442166</x:v>
      </x:c>
      <x:c r="D43" s="26" t="n">
        <x:f>D39*D42</x:f>
        <x:v>967887.3631949932</x:v>
      </x:c>
      <x:c r="E43" s="26" t="n">
        <x:f>E39*E42</x:f>
        <x:v>896741.7965594095</x:v>
      </x:c>
      <x:c r="F43" s="26" t="n">
        <x:f>F39*F42</x:f>
        <x:v>828813.2061056265</x:v>
      </x:c>
      <x:c r="G43" s="26" t="n">
        <x:f>G39*G42</x:f>
        <x:v>764170.0872258234</x:v>
      </x:c>
      <x:c r="H43" s="10"/>
    </x:row>
    <x:row r="44" ht="19" customHeight="1">
      <x:c r="B44" s="10"/>
      <x:c r="C44" s="10"/>
      <x:c r="D44" s="10"/>
      <x:c r="E44" s="10"/>
      <x:c r="F44" s="10"/>
      <x:c r="G44" s="10"/>
      <x:c r="H44" s="10"/>
    </x:row>
    <x:row r="45" ht="19" customHeight="1">
      <x:c r="A45" t="str">
        <x:v>PV explicit forecast FCFF</x:v>
      </x:c>
      <x:c r="B45" s="26" t="n">
        <x:f>SUM(B43:G43)</x:f>
        <x:v>4700115.7073066</x:v>
      </x:c>
      <x:c r="C45" s="10"/>
      <x:c r="D45" s="10"/>
      <x:c r="E45" s="10"/>
      <x:c r="F45" s="10"/>
      <x:c r="G45" s="10"/>
      <x:c r="H45" s="10"/>
    </x:row>
    <x:row r="46" ht="19" customHeight="1">
      <x:c r="A46" t="str">
        <x:v>Terminal g</x:v>
      </x:c>
      <x:c r="B46" s="38" t="n">
        <x:f>'03 Forecast Assumptions'!C17</x:f>
        <x:v>0.03</x:v>
      </x:c>
      <x:c r="C46" s="40"/>
      <x:c r="D46" s="40"/>
      <x:c r="E46" s="40"/>
      <x:c r="F46" s="40"/>
      <x:c r="G46" s="40"/>
      <x:c r="H46" s="10"/>
    </x:row>
    <x:row r="47" ht="19" customHeight="1">
      <x:c r="A47" t="str">
        <x:v>Stable ROIC</x:v>
      </x:c>
      <x:c r="B47" s="38" t="n">
        <x:f>'03 Forecast Assumptions'!C18</x:f>
        <x:v>0.145</x:v>
      </x:c>
      <x:c r="C47" s="40"/>
      <x:c r="D47" s="40"/>
      <x:c r="E47" s="40"/>
      <x:c r="F47" s="40"/>
      <x:c r="G47" s="40"/>
      <x:c r="H47" s="10"/>
    </x:row>
    <x:row r="48" ht="19" customHeight="1">
      <x:c r="A48" t="str">
        <x:v>Terminal EBIT</x:v>
      </x:c>
      <x:c r="B48" s="34" t="n">
        <x:f>'04 Financial Forecast'!H34*(1+B46)</x:f>
        <x:v>1861534.3799972427</x:v>
      </x:c>
      <x:c r="C48" s="10"/>
      <x:c r="D48" s="10"/>
      <x:c r="E48" s="10"/>
      <x:c r="F48" s="10"/>
      <x:c r="G48" s="10"/>
      <x:c r="H48" s="10"/>
    </x:row>
    <x:row r="49" ht="19" customHeight="1">
      <x:c r="A49" t="str">
        <x:v>Terminal NOPAT</x:v>
      </x:c>
      <x:c r="B49" s="34" t="n">
        <x:f>B48*(1-'03 Forecast Assumptions'!C12)</x:f>
        <x:v>1479919.8320978081</x:v>
      </x:c>
      <x:c r="C49" s="10"/>
      <x:c r="D49" s="10"/>
      <x:c r="E49" s="10"/>
      <x:c r="F49" s="10"/>
      <x:c r="G49" s="10"/>
      <x:c r="H49" s="10"/>
    </x:row>
    <x:row r="50" ht="19" customHeight="1">
      <x:c r="A50" t="str">
        <x:v>Terminal reinvestment rate = g/ROIC</x:v>
      </x:c>
      <x:c r="B50" s="28" t="n">
        <x:f>B46/B47</x:f>
        <x:v>0.20689655172413793</x:v>
      </x:c>
      <x:c r="C50" s="40"/>
      <x:c r="D50" s="40"/>
      <x:c r="E50" s="40"/>
      <x:c r="F50" s="40"/>
      <x:c r="G50" s="40"/>
      <x:c r="H50" s="10"/>
    </x:row>
    <x:row r="51" ht="19" customHeight="1">
      <x:c r="A51" t="str">
        <x:v>Terminal FCFF FY2032</x:v>
      </x:c>
      <x:c r="B51" s="26" t="n">
        <x:f>B49*(1-B50)</x:f>
        <x:v>1173729.5220086065</x:v>
      </x:c>
      <x:c r="C51" s="10"/>
      <x:c r="D51" s="10"/>
      <x:c r="E51" s="10"/>
      <x:c r="F51" s="10"/>
      <x:c r="G51" s="10"/>
      <x:c r="H51" s="10"/>
    </x:row>
    <x:row r="52" ht="19" customHeight="1">
      <x:c r="A52" t="str">
        <x:v>Terminal enterprise value FY2031</x:v>
      </x:c>
      <x:c r="B52" s="26" t="n">
        <x:f>IF(G41&gt;B46,B51/(G41-B46),0)</x:f>
        <x:v>13087699.376682658</x:v>
      </x:c>
      <x:c r="C52" s="10"/>
      <x:c r="D52" s="10"/>
      <x:c r="E52" s="10"/>
      <x:c r="F52" s="10"/>
      <x:c r="G52" s="10"/>
      <x:c r="H52" s="10"/>
    </x:row>
    <x:row r="53" ht="19" customHeight="1">
      <x:c r="A53" t="str">
        <x:v>Terminal discount horizon</x:v>
      </x:c>
      <x:c r="B53" s="26" t="n">
        <x:f>(DATE(2031,12,31)-DATE(2026,10,23))/365</x:f>
        <x:v>5.191780821917808</x:v>
      </x:c>
      <x:c r="C53" s="10"/>
      <x:c r="D53" s="10"/>
      <x:c r="E53" s="10"/>
      <x:c r="F53" s="10"/>
      <x:c r="G53" s="10"/>
      <x:c r="H53" s="10"/>
    </x:row>
    <x:row r="54" ht="19" customHeight="1">
      <x:c r="A54" t="str">
        <x:v>PV terminal value</x:v>
      </x:c>
      <x:c r="B54" s="26" t="n">
        <x:f>B52/(1+G41)^B53</x:f>
        <x:v>7277373.126216496</x:v>
      </x:c>
      <x:c r="C54" s="10"/>
      <x:c r="D54" s="10"/>
      <x:c r="E54" s="10"/>
      <x:c r="F54" s="10"/>
      <x:c r="G54" s="10"/>
      <x:c r="H54" s="10"/>
    </x:row>
    <x:row r="55" ht="19" customHeight="1">
      <x:c r="A55" t="str">
        <x:v>Consolidated operating enterprise value</x:v>
      </x:c>
      <x:c r="B55" s="26" t="n">
        <x:f>B45+B54</x:f>
        <x:v>11977488.833523097</x:v>
      </x:c>
      <x:c r="C55" s="10"/>
      <x:c r="D55" s="10"/>
      <x:c r="E55" s="10"/>
      <x:c r="F55" s="10"/>
      <x:c r="G55" s="10"/>
      <x:c r="H55" s="10"/>
    </x:row>
    <x:row r="56" ht="19" customHeight="1">
      <x:c r="A56" t="str">
        <x:v>Terminal % of enterprise value</x:v>
      </x:c>
      <x:c r="B56" s="28" t="n">
        <x:f>IFERROR(B54/B55,0)</x:f>
        <x:v>0.6075875525634622</x:v>
      </x:c>
      <x:c r="C56" s="40"/>
      <x:c r="D56" s="40"/>
      <x:c r="E56" s="40"/>
      <x:c r="F56" s="40"/>
      <x:c r="G56" s="40"/>
      <x:c r="H56" s="10"/>
    </x:row>
    <x:row r="57" ht="19" customHeight="1">
      <x:c r="A57" t="str">
        <x:v>Equity bridge adjusted for scenario</x:v>
      </x:c>
      <x:c r="B57" s="34" t="n">
        <x:f>'08 Equity Bridge'!B39+'08 Equity Bridge'!B15*('03 Forecast Assumptions'!C20-'03 Forecast Assumptions'!C20)+('03 Forecast Assumptions'!C21-'03 Forecast Assumptions'!C21)*'04 Financial Forecast'!C31+'03 Forecast Assumptions'!C22</x:f>
        <x:v>170952.29568840622</x:v>
      </x:c>
      <x:c r="C57" s="10"/>
      <x:c r="D57" s="10"/>
      <x:c r="E57" s="10"/>
      <x:c r="F57" s="10"/>
      <x:c r="G57" s="10"/>
      <x:c r="H57" s="10"/>
    </x:row>
    <x:row r="58" ht="19" customHeight="1">
      <x:c r="A58" t="str">
        <x:v>Parent common equity value</x:v>
      </x:c>
      <x:c r="B58" s="26" t="n">
        <x:f>B55+B57</x:f>
        <x:v>12148441.129211502</x:v>
      </x:c>
      <x:c r="C58" s="10"/>
      <x:c r="D58" s="10"/>
      <x:c r="E58" s="10"/>
      <x:c r="F58" s="10"/>
      <x:c r="G58" s="10"/>
      <x:c r="H58" s="10"/>
    </x:row>
    <x:row r="59" ht="19" customHeight="1">
      <x:c r="A59" t="str">
        <x:v>Fair value/share (Rp)</x:v>
      </x:c>
      <x:c r="B59" s="42" t="n">
        <x:f>B58*1000000/'08 Equity Bridge'!B10</x:f>
        <x:v>2109.5894803912583</x:v>
      </x:c>
      <x:c r="C59" s="10"/>
      <x:c r="D59" s="10"/>
      <x:c r="E59" s="10"/>
      <x:c r="F59" s="10"/>
      <x:c r="G59" s="10"/>
      <x:c r="H59" s="10"/>
    </x:row>
    <x:row r="60" ht="19" customHeight="1">
      <x:c r="A60" t="str">
        <x:v>Upside/(downside) vs market</x:v>
      </x:c>
      <x:c r="B60" s="38" t="n">
        <x:f>B59/'08 Equity Bridge'!B6-1</x:f>
        <x:v>0.26322723376722057</x:v>
      </x:c>
      <x:c r="C60" s="40"/>
      <x:c r="D60" s="40"/>
      <x:c r="E60" s="40"/>
      <x:c r="F60" s="40"/>
      <x:c r="G60" s="40"/>
      <x:c r="H60" s="10"/>
    </x:row>
    <x:row r="61" ht="19" customHeight="1">
      <x:c r="B61" s="10"/>
      <x:c r="C61" s="10"/>
      <x:c r="D61" s="10"/>
      <x:c r="E61" s="10"/>
      <x:c r="F61" s="10"/>
      <x:c r="G61" s="10"/>
      <x:c r="H61" s="10"/>
    </x:row>
    <x:row r="62" ht="19" customHeight="1">
      <x:c r="B62" s="10"/>
      <x:c r="C62" s="10"/>
      <x:c r="D62" s="10"/>
      <x:c r="E62" s="10"/>
      <x:c r="F62" s="10"/>
      <x:c r="G62" s="10"/>
      <x:c r="H62" s="10"/>
    </x:row>
    <x:row r="63" ht="19" customHeight="1">
      <x:c r="B63" s="10"/>
      <x:c r="C63" s="10"/>
      <x:c r="D63" s="10"/>
      <x:c r="E63" s="10"/>
      <x:c r="F63" s="10"/>
      <x:c r="G63" s="10"/>
      <x:c r="H63" s="10"/>
    </x:row>
    <x:row r="64" ht="19" customHeight="1">
      <x:c r="A64" s="14" t="str">
        <x:v>BULL DCF</x:v>
      </x:c>
      <x:c r="B64" s="15"/>
      <x:c r="C64" s="15"/>
      <x:c r="D64" s="15"/>
      <x:c r="E64" s="15"/>
      <x:c r="F64" s="15"/>
      <x:c r="G64" s="15"/>
      <x:c r="H64" s="15"/>
    </x:row>
    <x:row r="65" ht="19" customHeight="1">
      <x:c r="B65" s="10" t="str">
        <x:v>Stub 2026</x:v>
      </x:c>
      <x:c r="C65" s="10" t="str">
        <x:v>FY2027</x:v>
      </x:c>
      <x:c r="D65" s="10" t="str">
        <x:v>FY2028</x:v>
      </x:c>
      <x:c r="E65" s="10" t="str">
        <x:v>FY2029</x:v>
      </x:c>
      <x:c r="F65" s="10" t="str">
        <x:v>FY2030</x:v>
      </x:c>
      <x:c r="G65" s="10" t="str">
        <x:v>FY2031</x:v>
      </x:c>
      <x:c r="H65" s="10"/>
    </x:row>
    <x:row r="66" ht="19" customHeight="1">
      <x:c r="A66" t="str">
        <x:v>Forecast full-year FCFF</x:v>
      </x:c>
      <x:c r="B66" s="34" t="n">
        <x:f>'04 Financial Forecast'!C67</x:f>
        <x:v>1198679.6606504498</x:v>
      </x:c>
      <x:c r="C66" s="34" t="n">
        <x:f>'04 Financial Forecast'!D67</x:f>
        <x:v>1238520.5136129917</x:v>
      </x:c>
      <x:c r="D66" s="34" t="n">
        <x:f>'04 Financial Forecast'!E67</x:f>
        <x:v>1326463.1538583068</x:v>
      </x:c>
      <x:c r="E66" s="34" t="n">
        <x:f>'04 Financial Forecast'!F67</x:f>
        <x:v>1417154.581755196</x:v>
      </x:c>
      <x:c r="F66" s="34" t="n">
        <x:f>'04 Financial Forecast'!G67</x:f>
        <x:v>1510315.3596890809</x:v>
      </x:c>
      <x:c r="G66" s="34" t="n">
        <x:f>'04 Financial Forecast'!H67</x:f>
        <x:v>1605627.2451954593</x:v>
      </x:c>
      <x:c r="H66" s="10"/>
    </x:row>
    <x:row r="67" ht="19" customHeight="1">
      <x:c r="A67" t="str">
        <x:v>Future fraction / total year</x:v>
      </x:c>
      <x:c r="B67" s="28" t="n">
        <x:f>(DATE(2026,12,31)-DATE(2026,10,23))/365</x:f>
        <x:v>0.18904109589041096</x:v>
      </x:c>
      <x:c r="C67" s="28" t="n">
        <x:f>1</x:f>
        <x:v>1</x:v>
      </x:c>
      <x:c r="D67" s="28" t="n">
        <x:f>1</x:f>
        <x:v>1</x:v>
      </x:c>
      <x:c r="E67" s="28" t="n">
        <x:f>1</x:f>
        <x:v>1</x:v>
      </x:c>
      <x:c r="F67" s="28" t="n">
        <x:f>1</x:f>
        <x:v>1</x:v>
      </x:c>
      <x:c r="G67" s="28" t="n">
        <x:f>1</x:f>
        <x:v>1</x:v>
      </x:c>
      <x:c r="H67" s="10"/>
    </x:row>
    <x:row r="68" ht="19" customHeight="1">
      <x:c r="A68" t="str">
        <x:v>Cash flow post-valuation date</x:v>
      </x:c>
      <x:c r="B68" s="26" t="n">
        <x:f>B66*B67</x:f>
        <x:v>226599.71667090696</x:v>
      </x:c>
      <x:c r="C68" s="26" t="n">
        <x:f>C66*C67</x:f>
        <x:v>1238520.5136129917</x:v>
      </x:c>
      <x:c r="D68" s="26" t="n">
        <x:f>D66*D67</x:f>
        <x:v>1326463.1538583068</x:v>
      </x:c>
      <x:c r="E68" s="26" t="n">
        <x:f>E66*E67</x:f>
        <x:v>1417154.581755196</x:v>
      </x:c>
      <x:c r="F68" s="26" t="n">
        <x:f>F66*F67</x:f>
        <x:v>1510315.3596890809</x:v>
      </x:c>
      <x:c r="G68" s="26" t="n">
        <x:f>G66*G67</x:f>
        <x:v>1605627.2451954593</x:v>
      </x:c>
      <x:c r="H68" s="10"/>
    </x:row>
    <x:row r="69" ht="19" customHeight="1">
      <x:c r="A69" t="str">
        <x:v>Discount horizon (years)</x:v>
      </x:c>
      <x:c r="B69" s="26" t="n">
        <x:f>(DATE(2026,12,31)-DATE(2026,10,23))/365/2</x:f>
        <x:v>0.09452054794520548</x:v>
      </x:c>
      <x:c r="C69" s="26" t="n">
        <x:f>0+(DATE(2027,7,1)-DATE(2026,10,23))/365</x:f>
        <x:v>0.6876712328767123</x:v>
      </x:c>
      <x:c r="D69" s="26" t="n">
        <x:f>1+(DATE(2027,7,1)-DATE(2026,10,23))/365</x:f>
        <x:v>1.6876712328767123</x:v>
      </x:c>
      <x:c r="E69" s="26" t="n">
        <x:f>2+(DATE(2027,7,1)-DATE(2026,10,23))/365</x:f>
        <x:v>2.6876712328767125</x:v>
      </x:c>
      <x:c r="F69" s="26" t="n">
        <x:f>3+(DATE(2027,7,1)-DATE(2026,10,23))/365</x:f>
        <x:v>3.6876712328767125</x:v>
      </x:c>
      <x:c r="G69" s="26" t="n">
        <x:f>4+(DATE(2027,7,1)-DATE(2026,10,23))/365</x:f>
        <x:v>4.6876712328767125</x:v>
      </x:c>
      <x:c r="H69" s="10"/>
    </x:row>
    <x:row r="70" ht="19" customHeight="1">
      <x:c r="A70" t="str">
        <x:v>Scenario WACC</x:v>
      </x:c>
      <x:c r="B70" s="38" t="n">
        <x:f>'06 Cost of Equity &amp; WACC'!B30+'03 Forecast Assumptions'!D19</x:f>
        <x:v>0.11218188282959415</x:v>
      </x:c>
      <x:c r="C70" s="38" t="n">
        <x:f>'06 Cost of Equity &amp; WACC'!B30+'03 Forecast Assumptions'!D19</x:f>
        <x:v>0.11218188282959415</x:v>
      </x:c>
      <x:c r="D70" s="38" t="n">
        <x:f>'06 Cost of Equity &amp; WACC'!B30+'03 Forecast Assumptions'!D19</x:f>
        <x:v>0.11218188282959415</x:v>
      </x:c>
      <x:c r="E70" s="38" t="n">
        <x:f>'06 Cost of Equity &amp; WACC'!B30+'03 Forecast Assumptions'!D19</x:f>
        <x:v>0.11218188282959415</x:v>
      </x:c>
      <x:c r="F70" s="38" t="n">
        <x:f>'06 Cost of Equity &amp; WACC'!B30+'03 Forecast Assumptions'!D19</x:f>
        <x:v>0.11218188282959415</x:v>
      </x:c>
      <x:c r="G70" s="38" t="n">
        <x:f>'06 Cost of Equity &amp; WACC'!B30+'03 Forecast Assumptions'!D19</x:f>
        <x:v>0.11218188282959415</x:v>
      </x:c>
      <x:c r="H70" s="10"/>
    </x:row>
    <x:row r="71" ht="19" customHeight="1">
      <x:c r="A71" t="str">
        <x:v>Discount factor</x:v>
      </x:c>
      <x:c r="B71" s="26" t="n">
        <x:f>1/(1+B70)^B69</x:f>
        <x:v>0.9900005515369869</x:v>
      </x:c>
      <x:c r="C71" s="26" t="n">
        <x:f>1/(1+C70)^C69</x:f>
        <x:v>0.9294932055864555</x:v>
      </x:c>
      <x:c r="D71" s="26" t="n">
        <x:f>1/(1+D70)^D69</x:f>
        <x:v>0.8357384884041222</x:v>
      </x:c>
      <x:c r="E71" s="26" t="n">
        <x:f>1/(1+E70)^E69</x:f>
        <x:v>0.7514404804705599</x:v>
      </x:c>
      <x:c r="F71" s="26" t="n">
        <x:f>1/(1+F70)^F69</x:f>
        <x:v>0.675645316716325</x:v>
      </x:c>
      <x:c r="G71" s="26" t="n">
        <x:f>1/(1+G70)^G69</x:f>
        <x:v>0.6074953450935199</x:v>
      </x:c>
      <x:c r="H71" s="10"/>
    </x:row>
    <x:row r="72" ht="19" customHeight="1">
      <x:c r="A72" t="str">
        <x:v>Present value of cash flow</x:v>
      </x:c>
      <x:c r="B72" s="26" t="n">
        <x:f>B68*B71</x:f>
        <x:v>224333.84448232283</x:v>
      </x:c>
      <x:c r="C72" s="26" t="n">
        <x:f>C68*C71</x:f>
        <x:v>1151196.402382723</x:v>
      </x:c>
      <x:c r="D72" s="26" t="n">
        <x:f>D68*D71</x:f>
        <x:v>1108576.311129306</x:v>
      </x:c>
      <x:c r="E72" s="26" t="n">
        <x:f>E68*E71</x:f>
        <x:v>1064907.3198151798</x:v>
      </x:c>
      <x:c r="F72" s="26" t="n">
        <x:f>F68*F71</x:f>
        <x:v>1020437.4995386594</x:v>
      </x:c>
      <x:c r="G72" s="26" t="n">
        <x:f>G68*G71</x:f>
        <x:v>975411.0774115733</x:v>
      </x:c>
      <x:c r="H72" s="10"/>
    </x:row>
    <x:row r="73" ht="19" customHeight="1">
      <x:c r="B73" s="10"/>
      <x:c r="C73" s="10"/>
      <x:c r="D73" s="10"/>
      <x:c r="E73" s="10"/>
      <x:c r="F73" s="10"/>
      <x:c r="G73" s="10"/>
      <x:c r="H73" s="10"/>
    </x:row>
    <x:row r="74" ht="19" customHeight="1">
      <x:c r="A74" t="str">
        <x:v>PV explicit forecast FCFF</x:v>
      </x:c>
      <x:c r="B74" s="26" t="n">
        <x:f>SUM(B72:G72)</x:f>
        <x:v>5544862.4547597645</x:v>
      </x:c>
      <x:c r="C74" s="10"/>
      <x:c r="D74" s="10"/>
      <x:c r="E74" s="10"/>
      <x:c r="F74" s="10"/>
      <x:c r="G74" s="10"/>
      <x:c r="H74" s="10"/>
    </x:row>
    <x:row r="75" ht="19" customHeight="1">
      <x:c r="A75" t="str">
        <x:v>Terminal g</x:v>
      </x:c>
      <x:c r="B75" s="38" t="n">
        <x:f>'03 Forecast Assumptions'!D17</x:f>
        <x:v>0.035</x:v>
      </x:c>
      <x:c r="C75" s="40"/>
      <x:c r="D75" s="40"/>
      <x:c r="E75" s="40"/>
      <x:c r="F75" s="40"/>
      <x:c r="G75" s="40"/>
      <x:c r="H75" s="10"/>
    </x:row>
    <x:row r="76" ht="19" customHeight="1">
      <x:c r="A76" t="str">
        <x:v>Stable ROIC</x:v>
      </x:c>
      <x:c r="B76" s="38" t="n">
        <x:f>'03 Forecast Assumptions'!D18</x:f>
        <x:v>0.175</x:v>
      </x:c>
      <x:c r="C76" s="40"/>
      <x:c r="D76" s="40"/>
      <x:c r="E76" s="40"/>
      <x:c r="F76" s="40"/>
      <x:c r="G76" s="40"/>
      <x:c r="H76" s="10"/>
    </x:row>
    <x:row r="77" ht="19" customHeight="1">
      <x:c r="A77" t="str">
        <x:v>Terminal EBIT</x:v>
      </x:c>
      <x:c r="B77" s="34" t="n">
        <x:f>'04 Financial Forecast'!H57*(1+B75)</x:f>
        <x:v>2301308.4378414173</x:v>
      </x:c>
      <x:c r="C77" s="10"/>
      <x:c r="D77" s="10"/>
      <x:c r="E77" s="10"/>
      <x:c r="F77" s="10"/>
      <x:c r="G77" s="10"/>
      <x:c r="H77" s="10"/>
    </x:row>
    <x:row r="78" ht="19" customHeight="1">
      <x:c r="A78" t="str">
        <x:v>Terminal NOPAT</x:v>
      </x:c>
      <x:c r="B78" s="34" t="n">
        <x:f>B77*(1-'03 Forecast Assumptions'!D12)</x:f>
        <x:v>1864059.8346515482</x:v>
      </x:c>
      <x:c r="C78" s="10"/>
      <x:c r="D78" s="10"/>
      <x:c r="E78" s="10"/>
      <x:c r="F78" s="10"/>
      <x:c r="G78" s="10"/>
      <x:c r="H78" s="10"/>
    </x:row>
    <x:row r="79" ht="19" customHeight="1">
      <x:c r="A79" t="str">
        <x:v>Terminal reinvestment rate = g/ROIC</x:v>
      </x:c>
      <x:c r="B79" s="28" t="n">
        <x:f>B75/B76</x:f>
        <x:v>0.20000000000000004</x:v>
      </x:c>
      <x:c r="C79" s="40"/>
      <x:c r="D79" s="40"/>
      <x:c r="E79" s="40"/>
      <x:c r="F79" s="40"/>
      <x:c r="G79" s="40"/>
      <x:c r="H79" s="10"/>
    </x:row>
    <x:row r="80" ht="19" customHeight="1">
      <x:c r="A80" t="str">
        <x:v>Terminal FCFF FY2032</x:v>
      </x:c>
      <x:c r="B80" s="26" t="n">
        <x:f>B78*(1-B79)</x:f>
        <x:v>1491247.8677212384</x:v>
      </x:c>
      <x:c r="C80" s="10"/>
      <x:c r="D80" s="10"/>
      <x:c r="E80" s="10"/>
      <x:c r="F80" s="10"/>
      <x:c r="G80" s="10"/>
      <x:c r="H80" s="10"/>
    </x:row>
    <x:row r="81" ht="19" customHeight="1">
      <x:c r="A81" t="str">
        <x:v>Terminal enterprise value FY2031</x:v>
      </x:c>
      <x:c r="B81" s="26" t="n">
        <x:f>IF(G70&gt;B75,B80/(G70-B75),0)</x:f>
        <x:v>19321216.496022604</x:v>
      </x:c>
      <x:c r="C81" s="10"/>
      <x:c r="D81" s="10"/>
      <x:c r="E81" s="10"/>
      <x:c r="F81" s="10"/>
      <x:c r="G81" s="10"/>
      <x:c r="H81" s="10"/>
    </x:row>
    <x:row r="82" ht="19" customHeight="1">
      <x:c r="A82" t="str">
        <x:v>Terminal discount horizon</x:v>
      </x:c>
      <x:c r="B82" s="26" t="n">
        <x:f>(DATE(2031,12,31)-DATE(2026,10,23))/365</x:f>
        <x:v>5.191780821917808</x:v>
      </x:c>
      <x:c r="C82" s="10"/>
      <x:c r="D82" s="10"/>
      <x:c r="E82" s="10"/>
      <x:c r="F82" s="10"/>
      <x:c r="G82" s="10"/>
      <x:c r="H82" s="10"/>
    </x:row>
    <x:row r="83" ht="19" customHeight="1">
      <x:c r="A83" t="str">
        <x:v>PV terminal value</x:v>
      </x:c>
      <x:c r="B83" s="26" t="n">
        <x:f>B81/(1+G70)^B82</x:f>
        <x:v>11124993.082607232</x:v>
      </x:c>
      <x:c r="C83" s="10"/>
      <x:c r="D83" s="10"/>
      <x:c r="E83" s="10"/>
      <x:c r="F83" s="10"/>
      <x:c r="G83" s="10"/>
      <x:c r="H83" s="10"/>
    </x:row>
    <x:row r="84" ht="19" customHeight="1">
      <x:c r="A84" t="str">
        <x:v>Consolidated operating enterprise value</x:v>
      </x:c>
      <x:c r="B84" s="26" t="n">
        <x:f>B74+B83</x:f>
        <x:v>16669855.537366997</x:v>
      </x:c>
      <x:c r="C84" s="10"/>
      <x:c r="D84" s="10"/>
      <x:c r="E84" s="10"/>
      <x:c r="F84" s="10"/>
      <x:c r="G84" s="10"/>
      <x:c r="H84" s="10"/>
    </x:row>
    <x:row r="85" ht="19" customHeight="1">
      <x:c r="A85" t="str">
        <x:v>Terminal % of enterprise value</x:v>
      </x:c>
      <x:c r="B85" s="28" t="n">
        <x:f>IFERROR(B83/B84,0)</x:f>
        <x:v>0.6673718951954651</x:v>
      </x:c>
      <x:c r="C85" s="40"/>
      <x:c r="D85" s="40"/>
      <x:c r="E85" s="40"/>
      <x:c r="F85" s="40"/>
      <x:c r="G85" s="40"/>
      <x:c r="H85" s="10"/>
    </x:row>
    <x:row r="86" ht="19" customHeight="1">
      <x:c r="A86" t="str">
        <x:v>Equity bridge adjusted for scenario</x:v>
      </x:c>
      <x:c r="B86" s="34" t="n">
        <x:f>'08 Equity Bridge'!B39+'08 Equity Bridge'!B15*('03 Forecast Assumptions'!C20-'03 Forecast Assumptions'!D20)+('03 Forecast Assumptions'!C21-'03 Forecast Assumptions'!D21)*'04 Financial Forecast'!C31+'03 Forecast Assumptions'!D22</x:f>
        <x:v>537152.6656509062</x:v>
      </x:c>
      <x:c r="C86" s="10"/>
      <x:c r="D86" s="10"/>
      <x:c r="E86" s="10"/>
      <x:c r="F86" s="10"/>
      <x:c r="G86" s="10"/>
      <x:c r="H86" s="10"/>
    </x:row>
    <x:row r="87" ht="19" customHeight="1">
      <x:c r="A87" t="str">
        <x:v>Parent common equity value</x:v>
      </x:c>
      <x:c r="B87" s="26" t="n">
        <x:f>B84+B86</x:f>
        <x:v>17207008.203017905</x:v>
      </x:c>
      <x:c r="C87" s="10"/>
      <x:c r="D87" s="10"/>
      <x:c r="E87" s="10"/>
      <x:c r="F87" s="10"/>
      <x:c r="G87" s="10"/>
      <x:c r="H87" s="10"/>
    </x:row>
    <x:row r="88" ht="19" customHeight="1">
      <x:c r="A88" t="str">
        <x:v>Fair value/share (Rp)</x:v>
      </x:c>
      <x:c r="B88" s="42" t="n">
        <x:f>B87*1000000/'08 Equity Bridge'!B10</x:f>
        <x:v>2988.0149319576703</x:v>
      </x:c>
      <x:c r="C88" s="10"/>
      <x:c r="D88" s="10"/>
      <x:c r="E88" s="10"/>
      <x:c r="F88" s="10"/>
      <x:c r="G88" s="10"/>
      <x:c r="H88" s="10"/>
    </x:row>
    <x:row r="89" ht="19" customHeight="1">
      <x:c r="A89" t="str">
        <x:v>Upside/(downside) vs market</x:v>
      </x:c>
      <x:c r="B89" s="38" t="n">
        <x:f>B88/'08 Equity Bridge'!B6-1</x:f>
        <x:v>0.7892304981782456</x:v>
      </x:c>
      <x:c r="C89" s="40"/>
      <x:c r="D89" s="40"/>
      <x:c r="E89" s="40"/>
      <x:c r="F89" s="40"/>
      <x:c r="G89" s="40"/>
      <x:c r="H89" s="10"/>
    </x:row>
    <x:row r="90" ht="19" customHeight="1">
      <x:c r="B90" s="10"/>
      <x:c r="C90" s="10"/>
      <x:c r="D90" s="10"/>
      <x:c r="E90" s="10"/>
      <x:c r="F90" s="10"/>
      <x:c r="G90" s="10"/>
      <x:c r="H90" s="10"/>
    </x:row>
  </x:sheetData>
  <x:mergeCells>
    <x:mergeCell ref="A1:H2"/>
    <x:mergeCell ref="A3:H3"/>
    <x:mergeCell ref="A6:H6"/>
    <x:mergeCell ref="A35:H35"/>
    <x:mergeCell ref="A64:H6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6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7" customHeight="1">
      <x:c r="A1" s="3" t="str">
        <x:v>08 Equity Bridge</x:v>
      </x:c>
      <x:c r="B1" s="3"/>
      <x:c r="C1" s="3"/>
      <x:c r="D1" s="3"/>
      <x:c r="E1" s="3"/>
      <x:c r="F1" s="3"/>
    </x:row>
    <x:row r="2" ht="27" customHeight="1">
      <x:c r="A2" s="3"/>
      <x:c r="B2" s="3"/>
      <x:c r="C2" s="3"/>
      <x:c r="D2" s="3"/>
      <x:c r="E2" s="3"/>
      <x:c r="F2" s="3"/>
    </x:row>
    <x:row r="3" ht="19" customHeight="1">
      <x:c r="A3" s="7" t="str">
        <x:v>All values Rp million • 30 June 2026 reported balances + modeled dated cash bridge</x:v>
      </x:c>
      <x:c r="B3" s="7"/>
      <x:c r="C3" s="7"/>
      <x:c r="D3" s="7"/>
      <x:c r="E3" s="7"/>
      <x:c r="F3" s="7"/>
    </x:row>
    <x:row r="4" ht="19" customHeight="1"/>
    <x:row r="5" ht="19" customHeight="1">
      <x:c r="A5" s="14" t="str">
        <x:v>MARKET &amp; COMMON SHARES</x:v>
      </x:c>
      <x:c r="B5" s="15"/>
      <x:c r="C5" s="15"/>
      <x:c r="D5" s="15"/>
      <x:c r="E5" s="15"/>
      <x:c r="F5" s="15"/>
    </x:row>
    <x:row r="6" ht="19" customHeight="1">
      <x:c r="A6" t="str">
        <x:v>SMSM close 23 Oct 2026 (Rp/share)</x:v>
      </x:c>
      <x:c r="B6" s="24" t="n">
        <x:v>1670</x:v>
      </x:c>
      <x:c r="C6" s="10"/>
      <x:c r="D6" s="10"/>
      <x:c r="E6" s="10"/>
      <x:c r="F6" s="10"/>
    </x:row>
    <x:row r="7" ht="19" customHeight="1">
      <x:c r="A7" t="str">
        <x:v>Observed market equity value (Rp million)</x:v>
      </x:c>
      <x:c r="B7" s="26" t="n">
        <x:f>B6*B10/1000000</x:f>
        <x:v>9616987.9848</x:v>
      </x:c>
      <x:c r="C7" s="10"/>
      <x:c r="D7" s="10"/>
      <x:c r="E7" s="10"/>
      <x:c r="F7" s="10"/>
    </x:row>
    <x:row r="8" ht="19" customHeight="1">
      <x:c r="A8" t="str">
        <x:v>Issued common shares</x:v>
      </x:c>
      <x:c r="B8" s="24" t="n">
        <x:v>5758675440</x:v>
      </x:c>
      <x:c r="C8" s="10"/>
      <x:c r="D8" s="10"/>
      <x:c r="E8" s="10"/>
      <x:c r="F8" s="10"/>
    </x:row>
    <x:row r="9" ht="19" customHeight="1">
      <x:c r="A9" t="str">
        <x:v>Treasury / dilution adjustment shares (assumption)</x:v>
      </x:c>
      <x:c r="B9" s="30" t="n">
        <x:v>0</x:v>
      </x:c>
      <x:c r="C9" s="10"/>
      <x:c r="D9" s="10"/>
      <x:c r="E9" s="10"/>
      <x:c r="F9" s="10"/>
    </x:row>
    <x:row r="10" ht="19" customHeight="1">
      <x:c r="A10" t="str">
        <x:v>Economically outstanding shares</x:v>
      </x:c>
      <x:c r="B10" s="26" t="n">
        <x:f>B8-B9</x:f>
        <x:v>5758675440</x:v>
      </x:c>
      <x:c r="C10" s="10"/>
      <x:c r="D10" s="10"/>
      <x:c r="E10" s="10"/>
      <x:c r="F10" s="10"/>
    </x:row>
    <x:row r="11" ht="19" customHeight="1">
      <x:c r="B11" s="10"/>
      <x:c r="C11" s="10"/>
      <x:c r="D11" s="10"/>
      <x:c r="E11" s="10"/>
      <x:c r="F11" s="10"/>
    </x:row>
    <x:row r="12" ht="19" customHeight="1">
      <x:c r="A12" s="14" t="str">
        <x:v>H1 2026 CLAIMS AND NON-OPERATING ASSETS</x:v>
      </x:c>
      <x:c r="B12" s="15"/>
      <x:c r="C12" s="15"/>
      <x:c r="D12" s="15"/>
      <x:c r="E12" s="15"/>
      <x:c r="F12" s="15"/>
    </x:row>
    <x:row r="13" ht="19" customHeight="1">
      <x:c r="A13" t="str">
        <x:v>Bank financial debt</x:v>
      </x:c>
      <x:c r="B13" s="24" t="n">
        <x:v>95046</x:v>
      </x:c>
      <x:c r="C13" s="10"/>
      <x:c r="D13" s="10"/>
      <x:c r="E13" s="10"/>
      <x:c r="F13" s="10"/>
    </x:row>
    <x:row r="14" ht="19" customHeight="1">
      <x:c r="A14" t="str">
        <x:v>Lease debt</x:v>
      </x:c>
      <x:c r="B14" s="24" t="n">
        <x:v>67029</x:v>
      </x:c>
      <x:c r="C14" s="10"/>
      <x:c r="D14" s="10"/>
      <x:c r="E14" s="10"/>
      <x:c r="F14" s="10"/>
    </x:row>
    <x:row r="15" ht="19" customHeight="1">
      <x:c r="A15" t="str">
        <x:v>Book NCI</x:v>
      </x:c>
      <x:c r="B15" s="24" t="n">
        <x:v>519060</x:v>
      </x:c>
      <x:c r="C15" s="10"/>
      <x:c r="D15" s="10"/>
      <x:c r="E15" s="10"/>
      <x:c r="F15" s="10"/>
    </x:row>
    <x:row r="16" ht="19" customHeight="1">
      <x:c r="A16" t="str">
        <x:v>Unlisted associate book</x:v>
      </x:c>
      <x:c r="B16" s="24" t="n">
        <x:v>48397</x:v>
      </x:c>
      <x:c r="C16" s="10"/>
      <x:c r="D16" s="10"/>
      <x:c r="E16" s="10"/>
      <x:c r="F16" s="10"/>
    </x:row>
    <x:row r="17" ht="19" customHeight="1">
      <x:c r="A17" t="str">
        <x:v>Other shares investments (book)</x:v>
      </x:c>
      <x:c r="B17" s="24" t="n">
        <x:v>31031</x:v>
      </x:c>
      <x:c r="C17" s="10"/>
      <x:c r="D17" s="10"/>
      <x:c r="E17" s="10"/>
      <x:c r="F17" s="10"/>
    </x:row>
    <x:row r="18" ht="19" customHeight="1">
      <x:c r="A18" t="str">
        <x:v>H1 cash + equivalents</x:v>
      </x:c>
      <x:c r="B18" s="24" t="n">
        <x:v>1239077</x:v>
      </x:c>
      <x:c r="C18" s="10"/>
      <x:c r="D18" s="10"/>
      <x:c r="E18" s="10"/>
      <x:c r="F18" s="10"/>
    </x:row>
    <x:row r="19" ht="19" customHeight="1">
      <x:c r="A19" t="str">
        <x:v>Time deposits (nonrestricted proxy)</x:v>
      </x:c>
      <x:c r="B19" s="24" t="n">
        <x:v>118162</x:v>
      </x:c>
      <x:c r="C19" s="10"/>
      <x:c r="D19" s="10"/>
      <x:c r="E19" s="10"/>
      <x:c r="F19" s="10"/>
    </x:row>
    <x:row r="20" ht="19" customHeight="1">
      <x:c r="A20" t="str">
        <x:v>Derivative mark-to-market liability</x:v>
      </x:c>
      <x:c r="B20" s="24" t="n">
        <x:v>46366</x:v>
      </x:c>
      <x:c r="C20" s="10"/>
      <x:c r="D20" s="10"/>
      <x:c r="E20" s="10"/>
      <x:c r="F20" s="10"/>
    </x:row>
    <x:row r="21" ht="19" customHeight="1">
      <x:c r="A21" t="str">
        <x:v>Final dividend paid Jul 2026 (Rp/share)</x:v>
      </x:c>
      <x:c r="B21" s="30" t="n">
        <x:v>40</x:v>
      </x:c>
      <x:c r="C21" s="10"/>
      <x:c r="D21" s="10"/>
      <x:c r="E21" s="10"/>
      <x:c r="F21" s="10"/>
    </x:row>
    <x:row r="22" ht="19" customHeight="1">
      <x:c r="A22" t="str">
        <x:v>Second interim dividend paid Aug 2026 (Rp/share)</x:v>
      </x:c>
      <x:c r="B22" s="30" t="n">
        <x:v>40</x:v>
      </x:c>
      <x:c r="C22" s="10"/>
      <x:c r="D22" s="10"/>
      <x:c r="E22" s="10"/>
      <x:c r="F22" s="10"/>
    </x:row>
    <x:row r="23" ht="19" customHeight="1">
      <x:c r="A23" t="str">
        <x:v>Jun-Oct forward elapsed days</x:v>
      </x:c>
      <x:c r="B23" s="24" t="n">
        <x:v>115</x:v>
      </x:c>
      <x:c r="C23" s="10"/>
      <x:c r="D23" s="10"/>
      <x:c r="E23" s="10"/>
      <x:c r="F23" s="10"/>
    </x:row>
    <x:row r="24" ht="19" customHeight="1">
      <x:c r="A24" t="str">
        <x:v>2026 days</x:v>
      </x:c>
      <x:c r="B24" s="24" t="n">
        <x:v>365</x:v>
      </x:c>
      <x:c r="C24" s="10"/>
      <x:c r="D24" s="10"/>
      <x:c r="E24" s="10"/>
      <x:c r="F24" s="10"/>
    </x:row>
    <x:row r="25" ht="19" customHeight="1">
      <x:c r="A25" t="str">
        <x:v>2026 forecast FCFF as unlevered cash proxy</x:v>
      </x:c>
      <x:c r="B25" s="34" t="n">
        <x:f>'05 FCFF'!C15</x:f>
        <x:v>1071209.7468104854</x:v>
      </x:c>
      <x:c r="C25" s="10"/>
      <x:c r="D25" s="10"/>
      <x:c r="E25" s="10"/>
      <x:c r="F25" s="10"/>
    </x:row>
    <x:row r="26" ht="19" customHeight="1">
      <x:c r="A26" t="str">
        <x:v>Estimated June–23 Oct pre-distribution cash generation</x:v>
      </x:c>
      <x:c r="B26" s="26" t="n">
        <x:f>B25*B23/B24</x:f>
        <x:v>337504.4407759063</x:v>
      </x:c>
      <x:c r="C26" s="10"/>
      <x:c r="D26" s="10"/>
      <x:c r="E26" s="10"/>
      <x:c r="F26" s="10"/>
    </x:row>
    <x:row r="27" ht="19" customHeight="1">
      <x:c r="A27" t="str">
        <x:v>Post-June dividends cash paid</x:v>
      </x:c>
      <x:c r="B27" s="26" t="n">
        <x:f>SUM(B21:B22)*B10/1000000</x:f>
        <x:v>460694.0352</x:v>
      </x:c>
      <x:c r="C27" s="10"/>
      <x:c r="D27" s="10"/>
      <x:c r="E27" s="10"/>
      <x:c r="F27" s="10"/>
    </x:row>
    <x:row r="28" ht="19" customHeight="1">
      <x:c r="A28" t="str">
        <x:v>Estimated Oct cash balance</x:v>
      </x:c>
      <x:c r="B28" s="34" t="n">
        <x:f>B18+B26-B27+'03 Forecast Assumptions'!C22</x:f>
        <x:v>1115887.4055759062</x:v>
      </x:c>
      <x:c r="C28" s="10"/>
      <x:c r="D28" s="10"/>
      <x:c r="E28" s="10"/>
      <x:c r="F28" s="10"/>
    </x:row>
    <x:row r="29" ht="19" customHeight="1">
      <x:c r="A29" t="str">
        <x:v>FY2026 revenue used to estimate operational cash need</x:v>
      </x:c>
      <x:c r="B29" s="34" t="n">
        <x:f>'04 Financial Forecast'!C31</x:f>
        <x:v>5533654.7985</x:v>
      </x:c>
      <x:c r="C29" s="10"/>
      <x:c r="D29" s="10"/>
      <x:c r="E29" s="10"/>
      <x:c r="F29" s="10"/>
    </x:row>
    <x:row r="30" ht="19" customHeight="1">
      <x:c r="A30" t="str">
        <x:v>Operating cash reserve as % of revenue</x:v>
      </x:c>
      <x:c r="B30" s="38" t="n">
        <x:f>'03 Forecast Assumptions'!C21</x:f>
        <x:v>0.075</x:v>
      </x:c>
      <x:c r="C30" s="10"/>
      <x:c r="D30" s="10"/>
      <x:c r="E30" s="10"/>
      <x:c r="F30" s="10"/>
    </x:row>
    <x:row r="31" ht="19" customHeight="1">
      <x:c r="A31" t="str">
        <x:v>Estimated operating cash reserve</x:v>
      </x:c>
      <x:c r="B31" s="26" t="n">
        <x:f>B29*B30</x:f>
        <x:v>415024.10988749994</x:v>
      </x:c>
      <x:c r="C31" s="10"/>
      <x:c r="D31" s="10"/>
      <x:c r="E31" s="10"/>
      <x:c r="F31" s="10"/>
    </x:row>
    <x:row r="32" ht="19" customHeight="1">
      <x:c r="A32" t="str">
        <x:v>Excess cash, Oct proxy</x:v>
      </x:c>
      <x:c r="B32" s="26" t="n">
        <x:f>MAX(0,B28-B31)</x:f>
        <x:v>700863.2956884062</x:v>
      </x:c>
      <x:c r="C32" s="10"/>
      <x:c r="D32" s="10"/>
      <x:c r="E32" s="10"/>
      <x:c r="F32" s="10"/>
    </x:row>
    <x:row r="33" ht="19" customHeight="1">
      <x:c r="A33" t="str">
        <x:v>Time deposits added separately</x:v>
      </x:c>
      <x:c r="B33" s="26" t="n">
        <x:f>B19</x:f>
        <x:v>118162</x:v>
      </x:c>
      <x:c r="C33" s="10"/>
      <x:c r="D33" s="10"/>
      <x:c r="E33" s="10"/>
      <x:c r="F33" s="10"/>
    </x:row>
    <x:row r="34" ht="19" customHeight="1">
      <x:c r="A34" t="str">
        <x:v>NCI market/book proxy</x:v>
      </x:c>
      <x:c r="B34" s="34" t="n">
        <x:f>B15*'03 Forecast Assumptions'!C20</x:f>
        <x:v>519060</x:v>
      </x:c>
      <x:c r="C34" s="10"/>
      <x:c r="D34" s="10"/>
      <x:c r="E34" s="10"/>
      <x:c r="F34" s="10"/>
    </x:row>
    <x:row r="35" ht="19" customHeight="1">
      <x:c r="A35" t="str">
        <x:v>Associate proxy</x:v>
      </x:c>
      <x:c r="B35" s="26" t="n">
        <x:f>B16</x:f>
        <x:v>48397</x:v>
      </x:c>
      <x:c r="C35" s="10"/>
      <x:c r="D35" s="10"/>
      <x:c r="E35" s="10"/>
      <x:c r="F35" s="10"/>
    </x:row>
    <x:row r="36" ht="19" customHeight="1">
      <x:c r="A36" t="str">
        <x:v>Other share investment proxy</x:v>
      </x:c>
      <x:c r="B36" s="26" t="n">
        <x:f>B17</x:f>
        <x:v>31031</x:v>
      </x:c>
      <x:c r="C36" s="10"/>
      <x:c r="D36" s="10"/>
      <x:c r="E36" s="10"/>
      <x:c r="F36" s="10"/>
    </x:row>
    <x:row r="37" ht="19" customHeight="1">
      <x:c r="A37" t="str">
        <x:v>Derivative debt-like adjustment proxy</x:v>
      </x:c>
      <x:c r="B37" s="34" t="n">
        <x:f>B20*'03 Forecast Assumptions'!C23</x:f>
        <x:v>46366</x:v>
      </x:c>
      <x:c r="C37" s="10"/>
      <x:c r="D37" s="10"/>
      <x:c r="E37" s="10"/>
      <x:c r="F37" s="10"/>
    </x:row>
    <x:row r="38" ht="19" customHeight="1">
      <x:c r="A38" t="str">
        <x:v>Total debt</x:v>
      </x:c>
      <x:c r="B38" s="26" t="n">
        <x:f>B13+B14</x:f>
        <x:v>162075</x:v>
      </x:c>
      <x:c r="C38" s="10"/>
      <x:c r="D38" s="10"/>
      <x:c r="E38" s="10"/>
      <x:c r="F38" s="10"/>
    </x:row>
    <x:row r="39" ht="19" customHeight="1">
      <x:c r="A39" t="str">
        <x:v>Net positive bridge adjustments</x:v>
      </x:c>
      <x:c r="B39" s="26" t="n">
        <x:f>B32+B33+B35+B36-B38-B34-B37</x:f>
        <x:v>170952.29568840622</x:v>
      </x:c>
      <x:c r="C39" s="10"/>
      <x:c r="D39" s="10"/>
      <x:c r="E39" s="10"/>
      <x:c r="F39" s="10"/>
    </x:row>
    <x:row r="40" ht="19" customHeight="1">
      <x:c r="B40" s="10"/>
      <x:c r="C40" s="10"/>
      <x:c r="D40" s="10"/>
      <x:c r="E40" s="10"/>
      <x:c r="F40" s="10"/>
    </x:row>
    <x:row r="41" ht="19" customHeight="1">
      <x:c r="B41" s="10"/>
      <x:c r="C41" s="10"/>
      <x:c r="D41" s="10"/>
      <x:c r="E41" s="10"/>
      <x:c r="F41" s="10"/>
    </x:row>
    <x:row r="42" ht="19" customHeight="1">
      <x:c r="B42" s="10"/>
      <x:c r="C42" s="10"/>
      <x:c r="D42" s="10"/>
      <x:c r="E42" s="10"/>
      <x:c r="F42" s="10"/>
    </x:row>
    <x:row r="43" ht="19" customHeight="1">
      <x:c r="B43" s="10"/>
      <x:c r="C43" s="10"/>
      <x:c r="D43" s="10"/>
      <x:c r="E43" s="10"/>
      <x:c r="F43" s="10"/>
    </x:row>
    <x:row r="44" ht="19" customHeight="1">
      <x:c r="B44" s="10"/>
      <x:c r="C44" s="10"/>
      <x:c r="D44" s="10"/>
      <x:c r="E44" s="10"/>
      <x:c r="F44" s="10"/>
    </x:row>
    <x:row r="45" ht="19" customHeight="1">
      <x:c r="B45" s="10"/>
      <x:c r="C45" s="10"/>
      <x:c r="D45" s="10"/>
      <x:c r="E45" s="10"/>
      <x:c r="F45" s="10"/>
    </x:row>
    <x:row r="46" ht="19" customHeight="1">
      <x:c r="B46" s="10"/>
      <x:c r="C46" s="10"/>
      <x:c r="D46" s="10"/>
      <x:c r="E46" s="10"/>
      <x:c r="F46" s="10"/>
    </x:row>
    <x:row r="47" ht="19" customHeight="1">
      <x:c r="B47" s="10"/>
      <x:c r="C47" s="10"/>
      <x:c r="D47" s="10"/>
      <x:c r="E47" s="10"/>
      <x:c r="F47" s="10"/>
    </x:row>
    <x:row r="48" ht="19" customHeight="1">
      <x:c r="B48" s="10"/>
      <x:c r="C48" s="10"/>
      <x:c r="D48" s="10"/>
      <x:c r="E48" s="10"/>
      <x:c r="F48" s="10"/>
    </x:row>
    <x:row r="49" ht="19" customHeight="1">
      <x:c r="B49" s="10"/>
      <x:c r="C49" s="10"/>
      <x:c r="D49" s="10"/>
      <x:c r="E49" s="10"/>
      <x:c r="F49" s="10"/>
    </x:row>
    <x:row r="50" ht="19" customHeight="1">
      <x:c r="B50" s="10"/>
      <x:c r="C50" s="10"/>
      <x:c r="D50" s="10"/>
      <x:c r="E50" s="10"/>
      <x:c r="F50" s="10"/>
    </x:row>
    <x:row r="51" ht="19" customHeight="1">
      <x:c r="B51" s="10"/>
      <x:c r="C51" s="10"/>
      <x:c r="D51" s="10"/>
      <x:c r="E51" s="10"/>
      <x:c r="F51" s="10"/>
    </x:row>
    <x:row r="52" ht="19" customHeight="1">
      <x:c r="B52" s="10"/>
      <x:c r="C52" s="10"/>
      <x:c r="D52" s="10"/>
      <x:c r="E52" s="10"/>
      <x:c r="F52" s="10"/>
    </x:row>
    <x:row r="53" ht="19" customHeight="1">
      <x:c r="B53" s="10"/>
      <x:c r="C53" s="10"/>
      <x:c r="D53" s="10"/>
      <x:c r="E53" s="10"/>
      <x:c r="F53" s="10"/>
    </x:row>
    <x:row r="54" ht="19" customHeight="1">
      <x:c r="B54" s="10"/>
      <x:c r="C54" s="10"/>
      <x:c r="D54" s="10"/>
      <x:c r="E54" s="10"/>
      <x:c r="F54" s="10"/>
    </x:row>
    <x:row r="55" ht="19" customHeight="1">
      <x:c r="B55" s="10"/>
      <x:c r="C55" s="10"/>
      <x:c r="D55" s="10"/>
      <x:c r="E55" s="10"/>
      <x:c r="F55" s="10"/>
    </x:row>
    <x:row r="56" ht="19" customHeight="1">
      <x:c r="B56" s="10"/>
      <x:c r="C56" s="10"/>
      <x:c r="D56" s="10"/>
      <x:c r="E56" s="10"/>
      <x:c r="F56" s="10"/>
    </x:row>
    <x:row r="57" ht="19" customHeight="1">
      <x:c r="B57" s="10"/>
      <x:c r="C57" s="10"/>
      <x:c r="D57" s="10"/>
      <x:c r="E57" s="10"/>
      <x:c r="F57" s="10"/>
    </x:row>
    <x:row r="58" ht="19" customHeight="1">
      <x:c r="B58" s="10"/>
      <x:c r="C58" s="10"/>
      <x:c r="D58" s="10"/>
      <x:c r="E58" s="10"/>
      <x:c r="F58" s="10"/>
    </x:row>
    <x:row r="59" ht="19" customHeight="1">
      <x:c r="B59" s="10"/>
      <x:c r="C59" s="10"/>
      <x:c r="D59" s="10"/>
      <x:c r="E59" s="10"/>
      <x:c r="F59" s="10"/>
    </x:row>
    <x:row r="60" ht="19" customHeight="1">
      <x:c r="B60" s="10"/>
      <x:c r="C60" s="10"/>
      <x:c r="D60" s="10"/>
      <x:c r="E60" s="10"/>
      <x:c r="F60" s="10"/>
    </x:row>
    <x:row r="61" ht="19" customHeight="1">
      <x:c r="B61" s="10"/>
      <x:c r="C61" s="10"/>
      <x:c r="D61" s="10"/>
      <x:c r="E61" s="10"/>
      <x:c r="F61" s="10"/>
    </x:row>
    <x:row r="62" ht="19" customHeight="1">
      <x:c r="B62" s="10"/>
      <x:c r="C62" s="10"/>
      <x:c r="D62" s="10"/>
      <x:c r="E62" s="10"/>
      <x:c r="F62" s="10"/>
    </x:row>
    <x:row r="63" ht="19" customHeight="1">
      <x:c r="B63" s="10"/>
      <x:c r="C63" s="10"/>
      <x:c r="D63" s="10"/>
      <x:c r="E63" s="10"/>
      <x:c r="F63" s="10"/>
    </x:row>
    <x:row r="64" ht="19" customHeight="1">
      <x:c r="B64" s="10"/>
      <x:c r="C64" s="10"/>
      <x:c r="D64" s="10"/>
      <x:c r="E64" s="10"/>
      <x:c r="F64" s="10"/>
    </x:row>
    <x:row r="65" ht="19" customHeight="1">
      <x:c r="B65" s="10"/>
      <x:c r="C65" s="10"/>
      <x:c r="D65" s="10"/>
      <x:c r="E65" s="10"/>
      <x:c r="F65" s="10"/>
    </x:row>
    <x:row r="66" ht="19" customHeight="1">
      <x:c r="B66" s="10"/>
      <x:c r="C66" s="10"/>
      <x:c r="D66" s="10"/>
      <x:c r="E66" s="10"/>
      <x:c r="F66" s="10"/>
    </x:row>
    <x:row r="67" ht="19" customHeight="1">
      <x:c r="B67" s="10"/>
      <x:c r="C67" s="10"/>
      <x:c r="D67" s="10"/>
      <x:c r="E67" s="10"/>
      <x:c r="F67" s="10"/>
    </x:row>
    <x:row r="68" ht="19" customHeight="1">
      <x:c r="B68" s="10"/>
      <x:c r="C68" s="10"/>
      <x:c r="D68" s="10"/>
      <x:c r="E68" s="10"/>
      <x:c r="F68" s="10"/>
    </x:row>
    <x:row r="69" ht="19" customHeight="1">
      <x:c r="B69" s="10"/>
      <x:c r="C69" s="10"/>
      <x:c r="D69" s="10"/>
      <x:c r="E69" s="10"/>
      <x:c r="F69" s="10"/>
    </x:row>
    <x:row r="70" ht="19" customHeight="1">
      <x:c r="B70" s="10"/>
      <x:c r="C70" s="10"/>
      <x:c r="D70" s="10"/>
      <x:c r="E70" s="10"/>
      <x:c r="F70" s="10"/>
    </x:row>
    <x:row r="71" ht="19" customHeight="1">
      <x:c r="B71" s="10"/>
      <x:c r="C71" s="10"/>
      <x:c r="D71" s="10"/>
      <x:c r="E71" s="10"/>
      <x:c r="F71" s="10"/>
    </x:row>
    <x:row r="72" ht="19" customHeight="1">
      <x:c r="B72" s="10"/>
      <x:c r="C72" s="10"/>
      <x:c r="D72" s="10"/>
      <x:c r="E72" s="10"/>
      <x:c r="F72" s="10"/>
    </x:row>
    <x:row r="73" ht="19" customHeight="1">
      <x:c r="B73" s="10"/>
      <x:c r="C73" s="10"/>
      <x:c r="D73" s="10"/>
      <x:c r="E73" s="10"/>
      <x:c r="F73" s="10"/>
    </x:row>
    <x:row r="74" ht="19" customHeight="1">
      <x:c r="B74" s="10"/>
      <x:c r="C74" s="10"/>
      <x:c r="D74" s="10"/>
      <x:c r="E74" s="10"/>
      <x:c r="F74" s="10"/>
    </x:row>
    <x:row r="75" ht="19" customHeight="1">
      <x:c r="B75" s="10"/>
      <x:c r="C75" s="10"/>
      <x:c r="D75" s="10"/>
      <x:c r="E75" s="10"/>
      <x:c r="F75" s="10"/>
    </x:row>
    <x:row r="76" ht="19" customHeight="1">
      <x:c r="B76" s="10"/>
      <x:c r="C76" s="10"/>
      <x:c r="D76" s="10"/>
      <x:c r="E76" s="10"/>
      <x:c r="F76" s="10"/>
    </x:row>
    <x:row r="77" ht="19" customHeight="1">
      <x:c r="B77" s="10"/>
      <x:c r="C77" s="10"/>
      <x:c r="D77" s="10"/>
      <x:c r="E77" s="10"/>
      <x:c r="F77" s="10"/>
    </x:row>
    <x:row r="78" ht="19" customHeight="1">
      <x:c r="B78" s="10"/>
      <x:c r="C78" s="10"/>
      <x:c r="D78" s="10"/>
      <x:c r="E78" s="10"/>
      <x:c r="F78" s="10"/>
    </x:row>
    <x:row r="79" ht="19" customHeight="1">
      <x:c r="B79" s="10"/>
      <x:c r="C79" s="10"/>
      <x:c r="D79" s="10"/>
      <x:c r="E79" s="10"/>
      <x:c r="F79" s="10"/>
    </x:row>
    <x:row r="80" ht="19" customHeight="1">
      <x:c r="B80" s="10"/>
      <x:c r="C80" s="10"/>
      <x:c r="D80" s="10"/>
      <x:c r="E80" s="10"/>
      <x:c r="F80" s="10"/>
    </x:row>
    <x:row r="81" ht="19" customHeight="1">
      <x:c r="B81" s="10"/>
      <x:c r="C81" s="10"/>
      <x:c r="D81" s="10"/>
      <x:c r="E81" s="10"/>
      <x:c r="F81" s="10"/>
    </x:row>
    <x:row r="82" ht="19" customHeight="1">
      <x:c r="B82" s="10"/>
      <x:c r="C82" s="10"/>
      <x:c r="D82" s="10"/>
      <x:c r="E82" s="10"/>
      <x:c r="F82" s="10"/>
    </x:row>
    <x:row r="83" ht="19" customHeight="1">
      <x:c r="B83" s="10"/>
      <x:c r="C83" s="10"/>
      <x:c r="D83" s="10"/>
      <x:c r="E83" s="10"/>
      <x:c r="F83" s="10"/>
    </x:row>
    <x:row r="84" ht="19" customHeight="1">
      <x:c r="B84" s="10"/>
      <x:c r="C84" s="10"/>
      <x:c r="D84" s="10"/>
      <x:c r="E84" s="10"/>
      <x:c r="F84" s="10"/>
    </x:row>
    <x:row r="85" ht="19" customHeight="1">
      <x:c r="B85" s="10"/>
      <x:c r="C85" s="10"/>
      <x:c r="D85" s="10"/>
      <x:c r="E85" s="10"/>
      <x:c r="F85" s="10"/>
    </x:row>
    <x:row r="86" ht="19" customHeight="1">
      <x:c r="B86" s="10"/>
      <x:c r="C86" s="10"/>
      <x:c r="D86" s="10"/>
      <x:c r="E86" s="10"/>
      <x:c r="F86" s="10"/>
    </x:row>
    <x:row r="87" ht="19" customHeight="1">
      <x:c r="B87" s="10"/>
      <x:c r="C87" s="10"/>
      <x:c r="D87" s="10"/>
      <x:c r="E87" s="10"/>
      <x:c r="F87" s="10"/>
    </x:row>
    <x:row r="88" ht="19" customHeight="1">
      <x:c r="B88" s="10"/>
      <x:c r="C88" s="10"/>
      <x:c r="D88" s="10"/>
      <x:c r="E88" s="10"/>
      <x:c r="F88" s="10"/>
    </x:row>
    <x:row r="89" ht="19" customHeight="1">
      <x:c r="B89" s="10"/>
      <x:c r="C89" s="10"/>
      <x:c r="D89" s="10"/>
      <x:c r="E89" s="10"/>
      <x:c r="F89" s="10"/>
    </x:row>
    <x:row r="90" ht="19" customHeight="1">
      <x:c r="B90" s="10"/>
      <x:c r="C90" s="10"/>
      <x:c r="D90" s="10"/>
      <x:c r="E90" s="10"/>
      <x:c r="F90" s="10"/>
    </x:row>
  </x:sheetData>
  <x:mergeCells>
    <x:mergeCell ref="A1:F2"/>
    <x:mergeCell ref="A3:F3"/>
    <x:mergeCell ref="A5:F5"/>
    <x:mergeCell ref="A12:F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22" hidden="0" customWidth="1"/>
    <x:col min="5" max="5" width="17" hidden="0" customWidth="1"/>
    <x:col min="6" max="6" width="17" hidden="0" customWidth="1"/>
    <x:col min="7" max="7" width="15" hidden="0" customWidth="1"/>
    <x:col min="8" max="8" width="17" hidden="0" customWidth="1"/>
    <x:col min="9" max="9" width="17" hidden="0" customWidth="1"/>
    <x:col min="10" max="10" width="80" hidden="0" customWidth="1"/>
  </x:cols>
  <x:sheetData>
    <x:row r="1" ht="27" customHeight="1">
      <x:c r="A1" s="3" t="str">
        <x:v>09 Comparable Companies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9" customHeight="1">
      <x:c r="A3" s="7" t="str">
        <x:v>Peer data as of 22 Oct US (ATMU/DCI) and 23 Oct Indonesia (AUTO) • no FX translation within ratios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19" customHeight="1"/>
    <x:row r="5" ht="19" customHeight="1">
      <x:c r="A5" s="20" t="str">
        <x:v>Peer</x:v>
      </x:c>
      <x:c r="B5" s="21" t="str">
        <x:v>Currency</x:v>
      </x:c>
      <x:c r="C5" s="21" t="str">
        <x:v>Price</x:v>
      </x:c>
      <x:c r="D5" s="21" t="str">
        <x:v>Shares (million)</x:v>
      </x:c>
      <x:c r="E5" s="21" t="str">
        <x:v>Cash</x:v>
      </x:c>
      <x:c r="F5" s="21" t="str">
        <x:v>Debt</x:v>
      </x:c>
      <x:c r="G5" s="21" t="str">
        <x:v>Leases</x:v>
      </x:c>
      <x:c r="H5" s="21" t="str">
        <x:v>Other EV adjustment</x:v>
      </x:c>
      <x:c r="I5" s="21" t="str">
        <x:v>EBIT</x:v>
      </x:c>
      <x:c r="J5" s="21" t="str">
        <x:v>D&amp;A</x:v>
      </x:c>
    </x:row>
    <x:row r="6" ht="19" customHeight="1">
      <x:c r="A6" t="str">
        <x:v>ATMU</x:v>
      </x:c>
      <x:c r="B6" s="10" t="str">
        <x:v>USDm</x:v>
      </x:c>
      <x:c r="C6" s="24" t="n">
        <x:v>44.75</x:v>
      </x:c>
      <x:c r="D6" s="24" t="n">
        <x:v>81.595527</x:v>
      </x:c>
      <x:c r="E6" s="24" t="n">
        <x:v>259</x:v>
      </x:c>
      <x:c r="F6" s="24" t="n">
        <x:v>998.3</x:v>
      </x:c>
      <x:c r="G6" s="10"/>
      <x:c r="H6" s="24" t="n">
        <x:v>0</x:v>
      </x:c>
      <x:c r="I6" s="24" t="n">
        <x:v>325.9</x:v>
      </x:c>
      <x:c r="J6" s="24" t="n">
        <x:v>38.7</x:v>
      </x:c>
    </x:row>
    <x:row r="7" ht="19" customHeight="1">
      <x:c r="A7" t="str">
        <x:v>DCI</x:v>
      </x:c>
      <x:c r="B7" s="10" t="str">
        <x:v>USDm</x:v>
      </x:c>
      <x:c r="C7" s="24" t="n">
        <x:v>86.12</x:v>
      </x:c>
      <x:c r="D7" s="24" t="n">
        <x:v>115.910129</x:v>
      </x:c>
      <x:c r="E7" s="24" t="n">
        <x:v>250.4</x:v>
      </x:c>
      <x:c r="F7" s="24" t="n">
        <x:v>1324.8</x:v>
      </x:c>
      <x:c r="G7" s="24" t="n">
        <x:v>57.9</x:v>
      </x:c>
      <x:c r="H7" s="24" t="n">
        <x:v>0</x:v>
      </x:c>
      <x:c r="I7" s="24" t="n">
        <x:v>599.9</x:v>
      </x:c>
      <x:c r="J7" s="24" t="n">
        <x:v>106</x:v>
      </x:c>
    </x:row>
    <x:row r="8" ht="19" customHeight="1">
      <x:c r="A8" t="str">
        <x:v>AUTO</x:v>
      </x:c>
      <x:c r="B8" s="10" t="str">
        <x:v>IDRm</x:v>
      </x:c>
      <x:c r="C8" s="24" t="n">
        <x:v>3280</x:v>
      </x:c>
      <x:c r="D8" s="24" t="n">
        <x:v>4819.733</x:v>
      </x:c>
      <x:c r="E8" s="10"/>
      <x:c r="F8" s="10"/>
      <x:c r="G8" s="10"/>
      <x:c r="H8" s="10"/>
      <x:c r="I8" s="10"/>
      <x:c r="J8" s="10"/>
    </x:row>
    <x:row r="9" ht="19" customHeight="1">
      <x:c r="B9" s="10"/>
      <x:c r="C9" s="10"/>
      <x:c r="D9" s="10"/>
      <x:c r="E9" s="10"/>
      <x:c r="F9" s="10"/>
      <x:c r="G9" s="10"/>
      <x:c r="H9" s="10"/>
      <x:c r="I9" s="10"/>
      <x:c r="J9" s="10"/>
    </x:row>
    <x:row r="10" ht="19" customHeight="1">
      <x:c r="A10" s="14" t="str">
        <x:v>DERIVED PEER MULTIPLES AND INCLUSION GATES</x:v>
      </x:c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 ht="19" customHeight="1">
      <x:c r="A11" s="20" t="str">
        <x:v>Peer</x:v>
      </x:c>
      <x:c r="B11" s="21" t="str">
        <x:v>Market cap</x:v>
      </x:c>
      <x:c r="C11" s="21" t="str">
        <x:v>EV (provisionally)</x:v>
      </x:c>
      <x:c r="D11" s="21" t="str">
        <x:v>EBITDA</x:v>
      </x:c>
      <x:c r="E11" s="21" t="str">
        <x:v>EV / EBITDA</x:v>
      </x:c>
      <x:c r="F11" s="21" t="str">
        <x:v>EV / EBIT</x:v>
      </x:c>
      <x:c r="G11" s="21" t="str">
        <x:v>Validated</x:v>
      </x:c>
      <x:c r="H11" s="21" t="str">
        <x:v>Proposed tier</x:v>
      </x:c>
      <x:c r="I11" s="21" t="str">
        <x:v>Financial cutoff</x:v>
      </x:c>
      <x:c r="J11" s="21" t="str">
        <x:v>Qualification</x:v>
      </x:c>
    </x:row>
    <x:row r="12" ht="19" customHeight="1">
      <x:c r="A12" s="44" t="str">
        <x:f>A6</x:f>
        <x:v>ATMU</x:v>
      </x:c>
      <x:c r="B12" s="26" t="n">
        <x:f>C6*D6</x:f>
        <x:v>3651.39983325</x:v>
      </x:c>
      <x:c r="C12" s="26" t="str">
        <x:f>IF(OR(E6="",F6="",G6="",H6=""),"",B12-E6+F6+G6+H6)</x:f>
      </x:c>
      <x:c r="D12" s="26" t="n">
        <x:f>IF(OR(I6="",J6=""),"",I6+J6)</x:f>
        <x:v>364.59999999999997</x:v>
      </x:c>
      <x:c r="E12" s="46" t="n">
        <x:f>IFERROR(C12/D12,"")</x:f>
        <x:v>0</x:v>
      </x:c>
      <x:c r="F12" s="46" t="n">
        <x:f>IFERROR(C12/I6,"")</x:f>
        <x:v>0</x:v>
      </x:c>
      <x:c r="G12" s="10" t="str">
        <x:v>NO</x:v>
      </x:c>
      <x:c r="H12" s="10" t="str">
        <x:v>Context only</x:v>
      </x:c>
      <x:c r="I12" s="10" t="str">
        <x:v>Jun 2026</x:v>
      </x:c>
      <x:c r="J12" s="10" t="str">
        <x:v>Missing US-GAAP lease financing; Koch acquisition; investee income embedded in EBIT</x:v>
      </x:c>
    </x:row>
    <x:row r="13" ht="19" customHeight="1">
      <x:c r="A13" s="44" t="str">
        <x:f>A7</x:f>
        <x:v>DCI</x:v>
      </x:c>
      <x:c r="B13" s="26" t="n">
        <x:f>C7*D7</x:f>
        <x:v>9982.18030948</x:v>
      </x:c>
      <x:c r="C13" s="26" t="str">
        <x:f>IF(OR(E7="",F7="",G7="",H7=""),"",B13-E7+F7+G7+H7)</x:f>
      </x:c>
      <x:c r="D13" s="26" t="n">
        <x:f>IF(OR(I7="",J7=""),"",I7+J7)</x:f>
        <x:v>705.9</x:v>
      </x:c>
      <x:c r="E13" s="46" t="n">
        <x:f>IFERROR(C13/D13,"")</x:f>
        <x:v>0</x:v>
      </x:c>
      <x:c r="F13" s="46" t="n">
        <x:f>IFERROR(C13/I7,"")</x:f>
        <x:v>0</x:v>
      </x:c>
      <x:c r="G13" s="10" t="str">
        <x:v>YES*</x:v>
      </x:c>
      <x:c r="H13" s="10" t="str">
        <x:v>Primary cross-check</x:v>
      </x:c>
      <x:c r="I13" s="10" t="str">
        <x:v>Jul 2026</x:v>
      </x:c>
      <x:c r="J13" s="10" t="str">
        <x:v>Annual US GAAP, operating leases + debt; all-cash offset may overstate excess cash</x:v>
      </x:c>
    </x:row>
    <x:row r="14" ht="19" customHeight="1">
      <x:c r="A14" s="44" t="str">
        <x:f>A8</x:f>
        <x:v>AUTO</x:v>
      </x:c>
      <x:c r="B14" s="26" t="n">
        <x:f>C8*D8</x:f>
        <x:v>15808724.24</x:v>
      </x:c>
      <x:c r="C14" s="26" t="str">
        <x:f>IF(OR(E8="",F8="",G8="",H8=""),"",B14-E8+F8+G8+H8)</x:f>
      </x:c>
      <x:c r="D14" s="26" t="str">
        <x:f>IF(OR(I8="",J8=""),"",I8+J8)</x:f>
      </x:c>
      <x:c r="E14" s="46" t="str">
        <x:f>IFERROR(C14/D14,"")</x:f>
      </x:c>
      <x:c r="F14" s="46" t="str">
        <x:f>IFERROR(C14/I8,"")</x:f>
      </x:c>
      <x:c r="G14" s="10" t="str">
        <x:v>NO</x:v>
      </x:c>
      <x:c r="H14" s="10" t="str">
        <x:v>Domestic context</x:v>
      </x:c>
      <x:c r="I14" s="10" t="str">
        <x:v>Jun 2026</x:v>
      </x:c>
      <x:c r="J14" s="10" t="str">
        <x:v>Significant equity-accounted investments / NCI; group capital bridge unresolved</x:v>
      </x:c>
    </x:row>
    <x:row r="15" ht="19" customHeight="1">
      <x:c r="B15" s="10"/>
      <x:c r="C15" s="10"/>
      <x:c r="D15" s="10"/>
      <x:c r="E15" s="10"/>
      <x:c r="F15" s="10"/>
      <x:c r="G15" s="10"/>
      <x:c r="H15" s="10"/>
      <x:c r="I15" s="10"/>
      <x:c r="J15" s="10"/>
    </x:row>
    <x:row r="16" ht="19" customHeight="1"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 ht="19" customHeight="1">
      <x:c r="B17" s="10"/>
      <x:c r="C17" s="10"/>
      <x:c r="D17" s="10"/>
      <x:c r="E17" s="10"/>
      <x:c r="F17" s="10"/>
      <x:c r="G17" s="10"/>
      <x:c r="H17" s="10"/>
      <x:c r="I17" s="10"/>
      <x:c r="J17" s="10"/>
    </x:row>
    <x:row r="18" ht="19" customHeight="1"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 ht="19" customHeight="1">
      <x:c r="B19" s="10"/>
      <x:c r="C19" s="10"/>
      <x:c r="D19" s="10"/>
      <x:c r="E19" s="10"/>
      <x:c r="F19" s="10"/>
      <x:c r="G19" s="10"/>
      <x:c r="H19" s="10"/>
      <x:c r="I19" s="10"/>
      <x:c r="J19" s="10"/>
    </x:row>
    <x:row r="20" ht="19" customHeight="1">
      <x:c r="B20" s="10"/>
      <x:c r="C20" s="10"/>
      <x:c r="D20" s="10"/>
      <x:c r="E20" s="10"/>
      <x:c r="F20" s="10"/>
      <x:c r="G20" s="10"/>
      <x:c r="H20" s="10"/>
      <x:c r="I20" s="10"/>
      <x:c r="J20" s="10"/>
    </x:row>
    <x:row r="21" ht="19" customHeight="1">
      <x:c r="B21" s="10"/>
      <x:c r="C21" s="10"/>
      <x:c r="D21" s="10"/>
      <x:c r="E21" s="10"/>
      <x:c r="F21" s="10"/>
      <x:c r="G21" s="10"/>
      <x:c r="H21" s="10"/>
      <x:c r="I21" s="10"/>
      <x:c r="J21" s="10"/>
    </x:row>
    <x:row r="22" ht="19" customHeight="1">
      <x:c r="B22" s="10"/>
      <x:c r="C22" s="10"/>
      <x:c r="D22" s="10"/>
      <x:c r="E22" s="10"/>
      <x:c r="F22" s="10"/>
      <x:c r="G22" s="10"/>
      <x:c r="H22" s="10"/>
      <x:c r="I22" s="10"/>
      <x:c r="J22" s="10"/>
    </x:row>
    <x:row r="23" ht="19" customHeight="1">
      <x:c r="B23" s="10"/>
      <x:c r="C23" s="10"/>
      <x:c r="D23" s="10"/>
      <x:c r="E23" s="10"/>
      <x:c r="F23" s="10"/>
      <x:c r="G23" s="10"/>
      <x:c r="H23" s="10"/>
      <x:c r="I23" s="10"/>
      <x:c r="J23" s="10"/>
    </x:row>
    <x:row r="24" ht="19" customHeight="1">
      <x:c r="B24" s="10"/>
      <x:c r="C24" s="10"/>
      <x:c r="D24" s="10"/>
      <x:c r="E24" s="10"/>
      <x:c r="F24" s="10"/>
      <x:c r="G24" s="10"/>
      <x:c r="H24" s="10"/>
      <x:c r="I24" s="10"/>
      <x:c r="J24" s="10"/>
    </x:row>
    <x:row r="25" ht="19" customHeight="1">
      <x:c r="B25" s="10"/>
      <x:c r="C25" s="10"/>
      <x:c r="D25" s="10"/>
      <x:c r="E25" s="10"/>
      <x:c r="F25" s="10"/>
      <x:c r="G25" s="10"/>
      <x:c r="H25" s="10"/>
      <x:c r="I25" s="10"/>
      <x:c r="J25" s="10"/>
    </x:row>
    <x:row r="26" ht="19" customHeight="1">
      <x:c r="B26" s="10"/>
      <x:c r="C26" s="10"/>
      <x:c r="D26" s="10"/>
      <x:c r="E26" s="10"/>
      <x:c r="F26" s="10"/>
      <x:c r="G26" s="10"/>
      <x:c r="H26" s="10"/>
      <x:c r="I26" s="10"/>
      <x:c r="J26" s="10"/>
    </x:row>
    <x:row r="27" ht="19" customHeight="1">
      <x:c r="B27" s="10"/>
      <x:c r="C27" s="10"/>
      <x:c r="D27" s="10"/>
      <x:c r="E27" s="10"/>
      <x:c r="F27" s="10"/>
      <x:c r="G27" s="10"/>
      <x:c r="H27" s="10"/>
      <x:c r="I27" s="10"/>
      <x:c r="J27" s="10"/>
    </x:row>
    <x:row r="28" ht="19" customHeight="1">
      <x:c r="B28" s="10"/>
      <x:c r="C28" s="10"/>
      <x:c r="D28" s="10"/>
      <x:c r="E28" s="10"/>
      <x:c r="F28" s="10"/>
      <x:c r="G28" s="10"/>
      <x:c r="H28" s="10"/>
      <x:c r="I28" s="10"/>
      <x:c r="J28" s="10"/>
    </x:row>
    <x:row r="29" ht="19" customHeight="1">
      <x:c r="B29" s="10"/>
      <x:c r="C29" s="10"/>
      <x:c r="D29" s="10"/>
      <x:c r="E29" s="10"/>
      <x:c r="F29" s="10"/>
      <x:c r="G29" s="10"/>
      <x:c r="H29" s="10"/>
      <x:c r="I29" s="10"/>
      <x:c r="J29" s="10"/>
    </x:row>
    <x:row r="30" ht="19" customHeight="1">
      <x:c r="B30" s="10"/>
      <x:c r="C30" s="10"/>
      <x:c r="D30" s="10"/>
      <x:c r="E30" s="10"/>
      <x:c r="F30" s="10"/>
      <x:c r="G30" s="10"/>
      <x:c r="H30" s="10"/>
      <x:c r="I30" s="10"/>
      <x:c r="J30" s="10"/>
    </x:row>
    <x:row r="31" ht="19" customHeight="1">
      <x:c r="B31" s="10"/>
      <x:c r="C31" s="10"/>
      <x:c r="D31" s="10"/>
      <x:c r="E31" s="10"/>
      <x:c r="F31" s="10"/>
      <x:c r="G31" s="10"/>
      <x:c r="H31" s="10"/>
      <x:c r="I31" s="10"/>
      <x:c r="J31" s="10"/>
    </x:row>
    <x:row r="32" ht="19" customHeight="1">
      <x:c r="B32" s="10"/>
      <x:c r="C32" s="10"/>
      <x:c r="D32" s="10"/>
      <x:c r="E32" s="10"/>
      <x:c r="F32" s="10"/>
      <x:c r="G32" s="10"/>
      <x:c r="H32" s="10"/>
      <x:c r="I32" s="10"/>
      <x:c r="J32" s="10"/>
    </x:row>
    <x:row r="33" ht="19" customHeight="1">
      <x:c r="B33" s="10"/>
      <x:c r="C33" s="10"/>
      <x:c r="D33" s="10"/>
      <x:c r="E33" s="10"/>
      <x:c r="F33" s="10"/>
      <x:c r="G33" s="10"/>
      <x:c r="H33" s="10"/>
      <x:c r="I33" s="10"/>
      <x:c r="J33" s="10"/>
    </x:row>
    <x:row r="34" ht="19" customHeight="1">
      <x:c r="B34" s="10"/>
      <x:c r="C34" s="10"/>
      <x:c r="D34" s="10"/>
      <x:c r="E34" s="10"/>
      <x:c r="F34" s="10"/>
      <x:c r="G34" s="10"/>
      <x:c r="H34" s="10"/>
      <x:c r="I34" s="10"/>
      <x:c r="J34" s="10"/>
    </x:row>
    <x:row r="35" ht="19" customHeight="1">
      <x:c r="B35" s="10"/>
      <x:c r="C35" s="10"/>
      <x:c r="D35" s="10"/>
      <x:c r="E35" s="10"/>
      <x:c r="F35" s="10"/>
      <x:c r="G35" s="10"/>
      <x:c r="H35" s="10"/>
      <x:c r="I35" s="10"/>
      <x:c r="J35" s="10"/>
    </x:row>
    <x:row r="36" ht="19" customHeight="1">
      <x:c r="B36" s="10"/>
      <x:c r="C36" s="10"/>
      <x:c r="D36" s="10"/>
      <x:c r="E36" s="10"/>
      <x:c r="F36" s="10"/>
      <x:c r="G36" s="10"/>
      <x:c r="H36" s="10"/>
      <x:c r="I36" s="10"/>
      <x:c r="J36" s="10"/>
    </x:row>
    <x:row r="37" ht="19" customHeight="1">
      <x:c r="B37" s="10"/>
      <x:c r="C37" s="10"/>
      <x:c r="D37" s="10"/>
      <x:c r="E37" s="10"/>
      <x:c r="F37" s="10"/>
      <x:c r="G37" s="10"/>
      <x:c r="H37" s="10"/>
      <x:c r="I37" s="10"/>
      <x:c r="J37" s="10"/>
    </x:row>
    <x:row r="38" ht="19" customHeight="1">
      <x:c r="B38" s="10"/>
      <x:c r="C38" s="10"/>
      <x:c r="D38" s="10"/>
      <x:c r="E38" s="10"/>
      <x:c r="F38" s="10"/>
      <x:c r="G38" s="10"/>
      <x:c r="H38" s="10"/>
      <x:c r="I38" s="10"/>
      <x:c r="J38" s="10"/>
    </x:row>
    <x:row r="39" ht="19" customHeight="1">
      <x:c r="B39" s="10"/>
      <x:c r="C39" s="10"/>
      <x:c r="D39" s="10"/>
      <x:c r="E39" s="10"/>
      <x:c r="F39" s="10"/>
      <x:c r="G39" s="10"/>
      <x:c r="H39" s="10"/>
      <x:c r="I39" s="10"/>
      <x:c r="J39" s="10"/>
    </x:row>
    <x:row r="40" ht="19" customHeight="1">
      <x:c r="B40" s="10"/>
      <x:c r="C40" s="10"/>
      <x:c r="D40" s="10"/>
      <x:c r="E40" s="10"/>
      <x:c r="F40" s="10"/>
      <x:c r="G40" s="10"/>
      <x:c r="H40" s="10"/>
      <x:c r="I40" s="10"/>
      <x:c r="J40" s="10"/>
    </x:row>
    <x:row r="41" ht="19" customHeight="1">
      <x:c r="B41" s="10"/>
      <x:c r="C41" s="10"/>
      <x:c r="D41" s="10"/>
      <x:c r="E41" s="10"/>
      <x:c r="F41" s="10"/>
      <x:c r="G41" s="10"/>
      <x:c r="H41" s="10"/>
      <x:c r="I41" s="10"/>
      <x:c r="J41" s="10"/>
    </x:row>
    <x:row r="42" ht="19" customHeight="1">
      <x:c r="B42" s="10"/>
      <x:c r="C42" s="10"/>
      <x:c r="D42" s="10"/>
      <x:c r="E42" s="10"/>
      <x:c r="F42" s="10"/>
      <x:c r="G42" s="10"/>
      <x:c r="H42" s="10"/>
      <x:c r="I42" s="10"/>
      <x:c r="J42" s="10"/>
    </x:row>
    <x:row r="43" ht="19" customHeight="1">
      <x:c r="B43" s="10"/>
      <x:c r="C43" s="10"/>
      <x:c r="D43" s="10"/>
      <x:c r="E43" s="10"/>
      <x:c r="F43" s="10"/>
      <x:c r="G43" s="10"/>
      <x:c r="H43" s="10"/>
      <x:c r="I43" s="10"/>
      <x:c r="J43" s="10"/>
    </x:row>
    <x:row r="44" ht="19" customHeight="1">
      <x:c r="B44" s="10"/>
      <x:c r="C44" s="10"/>
      <x:c r="D44" s="10"/>
      <x:c r="E44" s="10"/>
      <x:c r="F44" s="10"/>
      <x:c r="G44" s="10"/>
      <x:c r="H44" s="10"/>
      <x:c r="I44" s="10"/>
      <x:c r="J44" s="10"/>
    </x:row>
    <x:row r="45" ht="19" customHeight="1">
      <x:c r="B45" s="10"/>
      <x:c r="C45" s="10"/>
      <x:c r="D45" s="10"/>
      <x:c r="E45" s="10"/>
      <x:c r="F45" s="10"/>
      <x:c r="G45" s="10"/>
      <x:c r="H45" s="10"/>
      <x:c r="I45" s="10"/>
      <x:c r="J45" s="10"/>
    </x:row>
    <x:row r="46" ht="19" customHeight="1">
      <x:c r="B46" s="10"/>
      <x:c r="C46" s="10"/>
      <x:c r="D46" s="10"/>
      <x:c r="E46" s="10"/>
      <x:c r="F46" s="10"/>
      <x:c r="G46" s="10"/>
      <x:c r="H46" s="10"/>
      <x:c r="I46" s="10"/>
      <x:c r="J46" s="10"/>
    </x:row>
    <x:row r="47" ht="19" customHeight="1">
      <x:c r="B47" s="10"/>
      <x:c r="C47" s="10"/>
      <x:c r="D47" s="10"/>
      <x:c r="E47" s="10"/>
      <x:c r="F47" s="10"/>
      <x:c r="G47" s="10"/>
      <x:c r="H47" s="10"/>
      <x:c r="I47" s="10"/>
      <x:c r="J47" s="10"/>
    </x:row>
    <x:row r="48" ht="19" customHeight="1">
      <x:c r="B48" s="10"/>
      <x:c r="C48" s="10"/>
      <x:c r="D48" s="10"/>
      <x:c r="E48" s="10"/>
      <x:c r="F48" s="10"/>
      <x:c r="G48" s="10"/>
      <x:c r="H48" s="10"/>
      <x:c r="I48" s="10"/>
      <x:c r="J48" s="10"/>
    </x:row>
    <x:row r="49" ht="19" customHeight="1">
      <x:c r="B49" s="10"/>
      <x:c r="C49" s="10"/>
      <x:c r="D49" s="10"/>
      <x:c r="E49" s="10"/>
      <x:c r="F49" s="10"/>
      <x:c r="G49" s="10"/>
      <x:c r="H49" s="10"/>
      <x:c r="I49" s="10"/>
      <x:c r="J49" s="10"/>
    </x:row>
    <x:row r="50" ht="19" customHeight="1">
      <x:c r="B50" s="10"/>
      <x:c r="C50" s="10"/>
      <x:c r="D50" s="10"/>
      <x:c r="E50" s="10"/>
      <x:c r="F50" s="10"/>
      <x:c r="G50" s="10"/>
      <x:c r="H50" s="10"/>
      <x:c r="I50" s="10"/>
      <x:c r="J50" s="10"/>
    </x:row>
    <x:row r="51" ht="19" customHeight="1">
      <x:c r="B51" s="10"/>
      <x:c r="C51" s="10"/>
      <x:c r="D51" s="10"/>
      <x:c r="E51" s="10"/>
      <x:c r="F51" s="10"/>
      <x:c r="G51" s="10"/>
      <x:c r="H51" s="10"/>
      <x:c r="I51" s="10"/>
      <x:c r="J51" s="10"/>
    </x:row>
    <x:row r="52" ht="19" customHeight="1">
      <x:c r="B52" s="10"/>
      <x:c r="C52" s="10"/>
      <x:c r="D52" s="10"/>
      <x:c r="E52" s="10"/>
      <x:c r="F52" s="10"/>
      <x:c r="G52" s="10"/>
      <x:c r="H52" s="10"/>
      <x:c r="I52" s="10"/>
      <x:c r="J52" s="10"/>
    </x:row>
    <x:row r="53" ht="19" customHeight="1">
      <x:c r="B53" s="10"/>
      <x:c r="C53" s="10"/>
      <x:c r="D53" s="10"/>
      <x:c r="E53" s="10"/>
      <x:c r="F53" s="10"/>
      <x:c r="G53" s="10"/>
      <x:c r="H53" s="10"/>
      <x:c r="I53" s="10"/>
      <x:c r="J53" s="10"/>
    </x:row>
    <x:row r="54" ht="19" customHeight="1">
      <x:c r="B54" s="10"/>
      <x:c r="C54" s="10"/>
      <x:c r="D54" s="10"/>
      <x:c r="E54" s="10"/>
      <x:c r="F54" s="10"/>
      <x:c r="G54" s="10"/>
      <x:c r="H54" s="10"/>
      <x:c r="I54" s="10"/>
      <x:c r="J54" s="10"/>
    </x:row>
    <x:row r="55" ht="19" customHeight="1">
      <x:c r="B55" s="10"/>
      <x:c r="C55" s="10"/>
      <x:c r="D55" s="10"/>
      <x:c r="E55" s="10"/>
      <x:c r="F55" s="10"/>
      <x:c r="G55" s="10"/>
      <x:c r="H55" s="10"/>
      <x:c r="I55" s="10"/>
      <x:c r="J55" s="10"/>
    </x:row>
    <x:row r="56" ht="19" customHeight="1">
      <x:c r="B56" s="10"/>
      <x:c r="C56" s="10"/>
      <x:c r="D56" s="10"/>
      <x:c r="E56" s="10"/>
      <x:c r="F56" s="10"/>
      <x:c r="G56" s="10"/>
      <x:c r="H56" s="10"/>
      <x:c r="I56" s="10"/>
      <x:c r="J56" s="10"/>
    </x:row>
    <x:row r="57" ht="19" customHeight="1">
      <x:c r="B57" s="10"/>
      <x:c r="C57" s="10"/>
      <x:c r="D57" s="10"/>
      <x:c r="E57" s="10"/>
      <x:c r="F57" s="10"/>
      <x:c r="G57" s="10"/>
      <x:c r="H57" s="10"/>
      <x:c r="I57" s="10"/>
      <x:c r="J57" s="10"/>
    </x:row>
    <x:row r="58" ht="19" customHeight="1">
      <x:c r="B58" s="10"/>
      <x:c r="C58" s="10"/>
      <x:c r="D58" s="10"/>
      <x:c r="E58" s="10"/>
      <x:c r="F58" s="10"/>
      <x:c r="G58" s="10"/>
      <x:c r="H58" s="10"/>
      <x:c r="I58" s="10"/>
      <x:c r="J58" s="10"/>
    </x:row>
    <x:row r="59" ht="19" customHeight="1">
      <x:c r="B59" s="10"/>
      <x:c r="C59" s="10"/>
      <x:c r="D59" s="10"/>
      <x:c r="E59" s="10"/>
      <x:c r="F59" s="10"/>
      <x:c r="G59" s="10"/>
      <x:c r="H59" s="10"/>
      <x:c r="I59" s="10"/>
      <x:c r="J59" s="10"/>
    </x:row>
    <x:row r="60" ht="19" customHeight="1">
      <x:c r="B60" s="10"/>
      <x:c r="C60" s="10"/>
      <x:c r="D60" s="10"/>
      <x:c r="E60" s="10"/>
      <x:c r="F60" s="10"/>
      <x:c r="G60" s="10"/>
      <x:c r="H60" s="10"/>
      <x:c r="I60" s="10"/>
      <x:c r="J60" s="10"/>
    </x:row>
    <x:row r="61" ht="19" customHeight="1">
      <x:c r="B61" s="10"/>
      <x:c r="C61" s="10"/>
      <x:c r="D61" s="10"/>
      <x:c r="E61" s="10"/>
      <x:c r="F61" s="10"/>
      <x:c r="G61" s="10"/>
      <x:c r="H61" s="10"/>
      <x:c r="I61" s="10"/>
      <x:c r="J61" s="10"/>
    </x:row>
    <x:row r="62" ht="19" customHeight="1">
      <x:c r="B62" s="10"/>
      <x:c r="C62" s="10"/>
      <x:c r="D62" s="10"/>
      <x:c r="E62" s="10"/>
      <x:c r="F62" s="10"/>
      <x:c r="G62" s="10"/>
      <x:c r="H62" s="10"/>
      <x:c r="I62" s="10"/>
      <x:c r="J62" s="10"/>
    </x:row>
    <x:row r="63" ht="19" customHeight="1">
      <x:c r="B63" s="10"/>
      <x:c r="C63" s="10"/>
      <x:c r="D63" s="10"/>
      <x:c r="E63" s="10"/>
      <x:c r="F63" s="10"/>
      <x:c r="G63" s="10"/>
      <x:c r="H63" s="10"/>
      <x:c r="I63" s="10"/>
      <x:c r="J63" s="10"/>
    </x:row>
    <x:row r="64" ht="19" customHeight="1">
      <x:c r="B64" s="10"/>
      <x:c r="C64" s="10"/>
      <x:c r="D64" s="10"/>
      <x:c r="E64" s="10"/>
      <x:c r="F64" s="10"/>
      <x:c r="G64" s="10"/>
      <x:c r="H64" s="10"/>
      <x:c r="I64" s="10"/>
      <x:c r="J64" s="10"/>
    </x:row>
    <x:row r="65" ht="19" customHeight="1">
      <x:c r="B65" s="10"/>
      <x:c r="C65" s="10"/>
      <x:c r="D65" s="10"/>
      <x:c r="E65" s="10"/>
      <x:c r="F65" s="10"/>
      <x:c r="G65" s="10"/>
      <x:c r="H65" s="10"/>
      <x:c r="I65" s="10"/>
      <x:c r="J65" s="10"/>
    </x:row>
    <x:row r="66" ht="19" customHeight="1">
      <x:c r="B66" s="10"/>
      <x:c r="C66" s="10"/>
      <x:c r="D66" s="10"/>
      <x:c r="E66" s="10"/>
      <x:c r="F66" s="10"/>
      <x:c r="G66" s="10"/>
      <x:c r="H66" s="10"/>
      <x:c r="I66" s="10"/>
      <x:c r="J66" s="10"/>
    </x:row>
    <x:row r="67" ht="19" customHeight="1">
      <x:c r="B67" s="10"/>
      <x:c r="C67" s="10"/>
      <x:c r="D67" s="10"/>
      <x:c r="E67" s="10"/>
      <x:c r="F67" s="10"/>
      <x:c r="G67" s="10"/>
      <x:c r="H67" s="10"/>
      <x:c r="I67" s="10"/>
      <x:c r="J67" s="10"/>
    </x:row>
    <x:row r="68" ht="19" customHeight="1">
      <x:c r="B68" s="10"/>
      <x:c r="C68" s="10"/>
      <x:c r="D68" s="10"/>
      <x:c r="E68" s="10"/>
      <x:c r="F68" s="10"/>
      <x:c r="G68" s="10"/>
      <x:c r="H68" s="10"/>
      <x:c r="I68" s="10"/>
      <x:c r="J68" s="10"/>
    </x:row>
    <x:row r="69" ht="19" customHeight="1">
      <x:c r="B69" s="10"/>
      <x:c r="C69" s="10"/>
      <x:c r="D69" s="10"/>
      <x:c r="E69" s="10"/>
      <x:c r="F69" s="10"/>
      <x:c r="G69" s="10"/>
      <x:c r="H69" s="10"/>
      <x:c r="I69" s="10"/>
      <x:c r="J69" s="10"/>
    </x:row>
    <x:row r="70" ht="19" customHeight="1">
      <x:c r="B70" s="10"/>
      <x:c r="C70" s="10"/>
      <x:c r="D70" s="10"/>
      <x:c r="E70" s="10"/>
      <x:c r="F70" s="10"/>
      <x:c r="G70" s="10"/>
      <x:c r="H70" s="10"/>
      <x:c r="I70" s="10"/>
      <x:c r="J70" s="10"/>
    </x:row>
    <x:row r="71" ht="19" customHeight="1">
      <x:c r="B71" s="10"/>
      <x:c r="C71" s="10"/>
      <x:c r="D71" s="10"/>
      <x:c r="E71" s="10"/>
      <x:c r="F71" s="10"/>
      <x:c r="G71" s="10"/>
      <x:c r="H71" s="10"/>
      <x:c r="I71" s="10"/>
      <x:c r="J71" s="10"/>
    </x:row>
    <x:row r="72" ht="19" customHeight="1">
      <x:c r="B72" s="10"/>
      <x:c r="C72" s="10"/>
      <x:c r="D72" s="10"/>
      <x:c r="E72" s="10"/>
      <x:c r="F72" s="10"/>
      <x:c r="G72" s="10"/>
      <x:c r="H72" s="10"/>
      <x:c r="I72" s="10"/>
      <x:c r="J72" s="10"/>
    </x:row>
    <x:row r="73" ht="19" customHeight="1">
      <x:c r="B73" s="10"/>
      <x:c r="C73" s="10"/>
      <x:c r="D73" s="10"/>
      <x:c r="E73" s="10"/>
      <x:c r="F73" s="10"/>
      <x:c r="G73" s="10"/>
      <x:c r="H73" s="10"/>
      <x:c r="I73" s="10"/>
      <x:c r="J73" s="10"/>
    </x:row>
    <x:row r="74" ht="19" customHeight="1">
      <x:c r="B74" s="10"/>
      <x:c r="C74" s="10"/>
      <x:c r="D74" s="10"/>
      <x:c r="E74" s="10"/>
      <x:c r="F74" s="10"/>
      <x:c r="G74" s="10"/>
      <x:c r="H74" s="10"/>
      <x:c r="I74" s="10"/>
      <x:c r="J74" s="10"/>
    </x:row>
    <x:row r="75" ht="19" customHeight="1">
      <x:c r="B75" s="10"/>
      <x:c r="C75" s="10"/>
      <x:c r="D75" s="10"/>
      <x:c r="E75" s="10"/>
      <x:c r="F75" s="10"/>
      <x:c r="G75" s="10"/>
      <x:c r="H75" s="10"/>
      <x:c r="I75" s="10"/>
      <x:c r="J75" s="10"/>
    </x:row>
    <x:row r="76" ht="19" customHeight="1">
      <x:c r="B76" s="10"/>
      <x:c r="C76" s="10"/>
      <x:c r="D76" s="10"/>
      <x:c r="E76" s="10"/>
      <x:c r="F76" s="10"/>
      <x:c r="G76" s="10"/>
      <x:c r="H76" s="10"/>
      <x:c r="I76" s="10"/>
      <x:c r="J76" s="10"/>
    </x:row>
    <x:row r="77" ht="19" customHeight="1">
      <x:c r="B77" s="10"/>
      <x:c r="C77" s="10"/>
      <x:c r="D77" s="10"/>
      <x:c r="E77" s="10"/>
      <x:c r="F77" s="10"/>
      <x:c r="G77" s="10"/>
      <x:c r="H77" s="10"/>
      <x:c r="I77" s="10"/>
      <x:c r="J77" s="10"/>
    </x:row>
    <x:row r="78" ht="19" customHeight="1">
      <x:c r="B78" s="10"/>
      <x:c r="C78" s="10"/>
      <x:c r="D78" s="10"/>
      <x:c r="E78" s="10"/>
      <x:c r="F78" s="10"/>
      <x:c r="G78" s="10"/>
      <x:c r="H78" s="10"/>
      <x:c r="I78" s="10"/>
      <x:c r="J78" s="10"/>
    </x:row>
    <x:row r="79" ht="19" customHeight="1">
      <x:c r="B79" s="10"/>
      <x:c r="C79" s="10"/>
      <x:c r="D79" s="10"/>
      <x:c r="E79" s="10"/>
      <x:c r="F79" s="10"/>
      <x:c r="G79" s="10"/>
      <x:c r="H79" s="10"/>
      <x:c r="I79" s="10"/>
      <x:c r="J79" s="10"/>
    </x:row>
    <x:row r="80" ht="19" customHeight="1">
      <x:c r="B80" s="10"/>
      <x:c r="C80" s="10"/>
      <x:c r="D80" s="10"/>
      <x:c r="E80" s="10"/>
      <x:c r="F80" s="10"/>
      <x:c r="G80" s="10"/>
      <x:c r="H80" s="10"/>
      <x:c r="I80" s="10"/>
      <x:c r="J80" s="10"/>
    </x:row>
    <x:row r="81" ht="19" customHeight="1">
      <x:c r="B81" s="10"/>
      <x:c r="C81" s="10"/>
      <x:c r="D81" s="10"/>
      <x:c r="E81" s="10"/>
      <x:c r="F81" s="10"/>
      <x:c r="G81" s="10"/>
      <x:c r="H81" s="10"/>
      <x:c r="I81" s="10"/>
      <x:c r="J81" s="10"/>
    </x:row>
    <x:row r="82" ht="19" customHeight="1">
      <x:c r="B82" s="10"/>
      <x:c r="C82" s="10"/>
      <x:c r="D82" s="10"/>
      <x:c r="E82" s="10"/>
      <x:c r="F82" s="10"/>
      <x:c r="G82" s="10"/>
      <x:c r="H82" s="10"/>
      <x:c r="I82" s="10"/>
      <x:c r="J82" s="10"/>
    </x:row>
    <x:row r="83" ht="19" customHeight="1">
      <x:c r="B83" s="10"/>
      <x:c r="C83" s="10"/>
      <x:c r="D83" s="10"/>
      <x:c r="E83" s="10"/>
      <x:c r="F83" s="10"/>
      <x:c r="G83" s="10"/>
      <x:c r="H83" s="10"/>
      <x:c r="I83" s="10"/>
      <x:c r="J83" s="10"/>
    </x:row>
    <x:row r="84" ht="19" customHeight="1">
      <x:c r="B84" s="10"/>
      <x:c r="C84" s="10"/>
      <x:c r="D84" s="10"/>
      <x:c r="E84" s="10"/>
      <x:c r="F84" s="10"/>
      <x:c r="G84" s="10"/>
      <x:c r="H84" s="10"/>
      <x:c r="I84" s="10"/>
      <x:c r="J84" s="10"/>
    </x:row>
    <x:row r="85" ht="19" customHeight="1">
      <x:c r="B85" s="10"/>
      <x:c r="C85" s="10"/>
      <x:c r="D85" s="10"/>
      <x:c r="E85" s="10"/>
      <x:c r="F85" s="10"/>
      <x:c r="G85" s="10"/>
      <x:c r="H85" s="10"/>
      <x:c r="I85" s="10"/>
      <x:c r="J85" s="10"/>
    </x:row>
    <x:row r="86" ht="19" customHeight="1">
      <x:c r="B86" s="10"/>
      <x:c r="C86" s="10"/>
      <x:c r="D86" s="10"/>
      <x:c r="E86" s="10"/>
      <x:c r="F86" s="10"/>
      <x:c r="G86" s="10"/>
      <x:c r="H86" s="10"/>
      <x:c r="I86" s="10"/>
      <x:c r="J86" s="10"/>
    </x:row>
    <x:row r="87" ht="19" customHeight="1">
      <x:c r="B87" s="10"/>
      <x:c r="C87" s="10"/>
      <x:c r="D87" s="10"/>
      <x:c r="E87" s="10"/>
      <x:c r="F87" s="10"/>
      <x:c r="G87" s="10"/>
      <x:c r="H87" s="10"/>
      <x:c r="I87" s="10"/>
      <x:c r="J87" s="10"/>
    </x:row>
    <x:row r="88" ht="19" customHeight="1">
      <x:c r="B88" s="10"/>
      <x:c r="C88" s="10"/>
      <x:c r="D88" s="10"/>
      <x:c r="E88" s="10"/>
      <x:c r="F88" s="10"/>
      <x:c r="G88" s="10"/>
      <x:c r="H88" s="10"/>
      <x:c r="I88" s="10"/>
      <x:c r="J88" s="10"/>
    </x:row>
    <x:row r="89" ht="19" customHeight="1">
      <x:c r="B89" s="10"/>
      <x:c r="C89" s="10"/>
      <x:c r="D89" s="10"/>
      <x:c r="E89" s="10"/>
      <x:c r="F89" s="10"/>
      <x:c r="G89" s="10"/>
      <x:c r="H89" s="10"/>
      <x:c r="I89" s="10"/>
      <x:c r="J89" s="10"/>
    </x:row>
    <x:row r="90" ht="19" customHeight="1">
      <x:c r="B90" s="10"/>
      <x:c r="C90" s="10"/>
      <x:c r="D90" s="10"/>
      <x:c r="E90" s="10"/>
      <x:c r="F90" s="10"/>
      <x:c r="G90" s="10"/>
      <x:c r="H90" s="10"/>
      <x:c r="I90" s="10"/>
      <x:c r="J90" s="10"/>
    </x:row>
  </x:sheetData>
  <x:mergeCells>
    <x:mergeCell ref="A1:J2"/>
    <x:mergeCell ref="A3:J3"/>
    <x:mergeCell ref="A10:J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7" customHeight="1">
      <x:c r="A1" s="3" t="str">
        <x:v>10 Relative Valuation</x:v>
      </x:c>
      <x:c r="B1" s="3"/>
      <x:c r="C1" s="3"/>
      <x:c r="D1" s="3"/>
      <x:c r="E1" s="3"/>
      <x:c r="F1" s="3"/>
    </x:row>
    <x:row r="2" ht="27" customHeight="1">
      <x:c r="A2" s="3"/>
      <x:c r="B2" s="3"/>
      <x:c r="C2" s="3"/>
      <x:c r="D2" s="3"/>
      <x:c r="E2" s="3"/>
      <x:c r="F2" s="3"/>
    </x:row>
    <x:row r="3" ht="19" customHeight="1">
      <x:c r="A3" s="7" t="str">
        <x:v>Unadjusted peer indications; final relative estimate withheld where peer gates fail</x:v>
      </x:c>
      <x:c r="B3" s="7"/>
      <x:c r="C3" s="7"/>
      <x:c r="D3" s="7"/>
      <x:c r="E3" s="7"/>
      <x:c r="F3" s="7"/>
    </x:row>
    <x:row r="4" ht="19" customHeight="1"/>
    <x:row r="5" ht="19" customHeight="1">
      <x:c r="A5" s="14" t="str">
        <x:v>MULTIPLE CROSS-CHECK (Rp million unless price)</x:v>
      </x:c>
      <x:c r="B5" s="15"/>
      <x:c r="C5" s="15"/>
      <x:c r="D5" s="15"/>
      <x:c r="E5" s="15"/>
      <x:c r="F5" s="15"/>
    </x:row>
    <x:row r="6" ht="19" customHeight="1">
      <x:c r="B6" s="10"/>
      <x:c r="C6" s="10"/>
      <x:c r="D6" s="10"/>
      <x:c r="E6" s="10"/>
      <x:c r="F6" s="10"/>
    </x:row>
    <x:row r="7" ht="19" customHeight="1">
      <x:c r="A7" t="str">
        <x:v>SMSM FY2025 EBITDA</x:v>
      </x:c>
      <x:c r="B7" s="34" t="n">
        <x:f>'02 Historical &amp; TTM'!F20</x:f>
        <x:v>3090635</x:v>
      </x:c>
      <x:c r="C7" s="10"/>
      <x:c r="D7" s="10"/>
      <x:c r="E7" s="10"/>
      <x:c r="F7" s="10"/>
    </x:row>
    <x:row r="8" ht="19" customHeight="1">
      <x:c r="A8" t="str">
        <x:v>SMSM LTM EBITDA Jun 2026 (rounded input)</x:v>
      </x:c>
      <x:c r="B8" s="34" t="n">
        <x:f>'02 Historical &amp; TTM'!I20</x:f>
        <x:v>2317935</x:v>
      </x:c>
      <x:c r="C8" s="10"/>
      <x:c r="D8" s="10"/>
      <x:c r="E8" s="10"/>
      <x:c r="F8" s="10"/>
    </x:row>
    <x:row r="9" ht="19" customHeight="1">
      <x:c r="A9" t="str">
        <x:v>SMSM LTM EBIT Jun 2026 (rounded input)</x:v>
      </x:c>
      <x:c r="B9" s="34" t="n">
        <x:f>'02 Historical &amp; TTM'!I7</x:f>
        <x:v>804192</x:v>
      </x:c>
      <x:c r="C9" s="10"/>
      <x:c r="D9" s="10"/>
      <x:c r="E9" s="10"/>
      <x:c r="F9" s="10"/>
    </x:row>
    <x:row r="10" ht="19" customHeight="1">
      <x:c r="A10" t="str">
        <x:v>ATMU EV/EBITDA (unvalidated)</x:v>
      </x:c>
      <x:c r="B10" s="48" t="n">
        <x:f>'09 Comparable Companies'!E12</x:f>
        <x:v>0</x:v>
      </x:c>
      <x:c r="C10" s="10"/>
      <x:c r="D10" s="10"/>
      <x:c r="E10" s="10"/>
      <x:c r="F10" s="10"/>
    </x:row>
    <x:row r="11" ht="19" customHeight="1">
      <x:c r="A11" t="str">
        <x:v>DCI EV/EBITDA (conditional)</x:v>
      </x:c>
      <x:c r="B11" s="48" t="n">
        <x:f>'09 Comparable Companies'!E13</x:f>
        <x:v>0</x:v>
      </x:c>
      <x:c r="C11" s="10"/>
      <x:c r="D11" s="10"/>
      <x:c r="E11" s="10"/>
      <x:c r="F11" s="10"/>
    </x:row>
    <x:row r="12" ht="19" customHeight="1">
      <x:c r="A12" t="str">
        <x:v>AUTO EV/EBITDA (unvalidated)</x:v>
      </x:c>
      <x:c r="B12" s="48" t="n">
        <x:f>'09 Comparable Companies'!E14</x:f>
        <x:v>0</x:v>
      </x:c>
      <x:c r="C12" s="10"/>
      <x:c r="D12" s="10"/>
      <x:c r="E12" s="10"/>
      <x:c r="F12" s="10"/>
    </x:row>
    <x:row r="13" ht="19" customHeight="1">
      <x:c r="A13" t="str">
        <x:v>DCI EV/EBIT (conditional)</x:v>
      </x:c>
      <x:c r="B13" s="48" t="n">
        <x:f>'09 Comparable Companies'!F13</x:f>
        <x:v>0</x:v>
      </x:c>
      <x:c r="C13" s="10"/>
      <x:c r="D13" s="10"/>
      <x:c r="E13" s="10"/>
      <x:c r="F13" s="10"/>
    </x:row>
    <x:row r="14" ht="19" customHeight="1">
      <x:c r="A14" t="str">
        <x:v>Implied SMSM EV via DCI EBITDA</x:v>
      </x:c>
      <x:c r="B14" s="26" t="n">
        <x:f>B8*B11</x:f>
        <x:v>0</x:v>
      </x:c>
      <x:c r="C14" s="10"/>
      <x:c r="D14" s="10"/>
      <x:c r="E14" s="10"/>
      <x:c r="F14" s="10"/>
    </x:row>
    <x:row r="15" ht="19" customHeight="1">
      <x:c r="A15" t="str">
        <x:v>Implied SMSM parent equity via DCI EBITDA</x:v>
      </x:c>
      <x:c r="B15" s="34" t="n">
        <x:f>B14+'08 Equity Bridge'!B39</x:f>
        <x:v>170952.29568840622</x:v>
      </x:c>
      <x:c r="C15" s="10"/>
      <x:c r="D15" s="10"/>
      <x:c r="E15" s="10"/>
      <x:c r="F15" s="10"/>
    </x:row>
    <x:row r="16" ht="19" customHeight="1">
      <x:c r="A16" t="str">
        <x:v>Implied value/share via DCI EBITDA</x:v>
      </x:c>
      <x:c r="B16" s="42" t="n">
        <x:f>B15*1000000/'08 Equity Bridge'!B10</x:f>
        <x:v>29.68604455478849</x:v>
      </x:c>
      <x:c r="C16" s="10"/>
      <x:c r="D16" s="10"/>
      <x:c r="E16" s="10"/>
      <x:c r="F16" s="10"/>
    </x:row>
    <x:row r="17" ht="19" customHeight="1">
      <x:c r="A17" t="str">
        <x:v>Implied SMSM EV via DCI EBIT</x:v>
      </x:c>
      <x:c r="B17" s="26" t="n">
        <x:f>B9*B13</x:f>
        <x:v>0</x:v>
      </x:c>
      <x:c r="C17" s="10"/>
      <x:c r="D17" s="10"/>
      <x:c r="E17" s="10"/>
      <x:c r="F17" s="10"/>
    </x:row>
    <x:row r="18" ht="19" customHeight="1">
      <x:c r="A18" t="str">
        <x:v>Implied parent equity via DCI EBIT</x:v>
      </x:c>
      <x:c r="B18" s="34" t="n">
        <x:f>B17+'08 Equity Bridge'!B39</x:f>
        <x:v>170952.29568840622</x:v>
      </x:c>
      <x:c r="C18" s="10"/>
      <x:c r="D18" s="10"/>
      <x:c r="E18" s="10"/>
      <x:c r="F18" s="10"/>
    </x:row>
    <x:row r="19" ht="19" customHeight="1">
      <x:c r="A19" t="str">
        <x:v>Implied value/share via DCI EBIT</x:v>
      </x:c>
      <x:c r="B19" s="42" t="n">
        <x:f>B18*1000000/'08 Equity Bridge'!B10</x:f>
        <x:v>29.68604455478849</x:v>
      </x:c>
      <x:c r="C19" s="10"/>
      <x:c r="D19" s="10"/>
      <x:c r="E19" s="10"/>
      <x:c r="F19" s="10"/>
    </x:row>
    <x:row r="20" ht="19" customHeight="1">
      <x:c r="A20" t="str">
        <x:v>Calculated relative median per share (1 conditionally valid peer)</x:v>
      </x:c>
      <x:c r="B20" s="50" t="n">
        <x:f>AVERAGE(B16,B19)</x:f>
        <x:v>29.68604455478849</x:v>
      </x:c>
      <x:c r="C20" s="10"/>
      <x:c r="D20" s="10"/>
      <x:c r="E20" s="10"/>
      <x:c r="F20" s="10"/>
    </x:row>
    <x:row r="21" ht="19" customHeight="1">
      <x:c r="A21" t="str">
        <x:v>Peer confidence gate (1=at least 2 fully validated)</x:v>
      </x:c>
      <x:c r="B21" s="26" t="n">
        <x:f>0</x:f>
        <x:v>0</x:v>
      </x:c>
      <x:c r="C21" s="10"/>
      <x:c r="D21" s="10"/>
      <x:c r="E21" s="10"/>
      <x:c r="F21" s="10"/>
    </x:row>
    <x:row r="22" ht="19" customHeight="1">
      <x:c r="A22" t="str">
        <x:v>Publishable relative valuation result</x:v>
      </x:c>
      <x:c r="B22" s="50" t="str">
        <x:f>IF(B21=1,B20,"")</x:f>
      </x:c>
      <x:c r="C22" s="10"/>
      <x:c r="D22" s="10"/>
      <x:c r="E22" s="10"/>
      <x:c r="F22" s="10"/>
    </x:row>
    <x:row r="23" ht="19" customHeight="1">
      <x:c r="B23" s="10"/>
      <x:c r="C23" s="10"/>
      <x:c r="D23" s="10"/>
      <x:c r="E23" s="10"/>
      <x:c r="F23" s="10"/>
    </x:row>
    <x:row r="24" ht="19" customHeight="1">
      <x:c r="B24" s="10"/>
      <x:c r="C24" s="10"/>
      <x:c r="D24" s="10"/>
      <x:c r="E24" s="10"/>
      <x:c r="F24" s="10"/>
    </x:row>
    <x:row r="25" ht="19" customHeight="1">
      <x:c r="A25" s="14" t="str">
        <x:v>GOVERNANCE NOTE</x:v>
      </x:c>
      <x:c r="B25" s="15"/>
      <x:c r="C25" s="15"/>
      <x:c r="D25" s="15"/>
      <x:c r="E25" s="15"/>
      <x:c r="F25" s="15"/>
    </x:row>
    <x:row r="26" ht="19" customHeight="1">
      <x:c r="B26" s="10"/>
      <x:c r="C26" s="10"/>
      <x:c r="D26" s="10"/>
      <x:c r="E26" s="10"/>
      <x:c r="F26" s="10"/>
    </x:row>
    <x:row r="27" ht="19" customHeight="1">
      <x:c r="A27" t="str">
        <x:v>ATMU 2026 Koch Filter acquisition and unverified peer leases exclude it from approved peer sample.</x:v>
      </x:c>
      <x:c r="B27" s="10"/>
      <x:c r="C27" s="10"/>
      <x:c r="D27" s="10"/>
      <x:c r="E27" s="10"/>
      <x:c r="F27" s="10"/>
    </x:row>
    <x:row r="28" ht="19" customHeight="1">
      <x:c r="A28" t="str">
        <x:v>DCI 2026 FY uses latest July annual; DCI book/GAAP operating lease comparability disclosed.</x:v>
      </x:c>
      <x:c r="B28" s="10"/>
      <x:c r="C28" s="10"/>
      <x:c r="D28" s="10"/>
      <x:c r="E28" s="10"/>
      <x:c r="F28" s="10"/>
    </x:row>
    <x:row r="29" ht="19" customHeight="1">
      <x:c r="A29" t="str">
        <x:v>AUTO EV denominator is materially affected by nonconsolidated associates; disabled.</x:v>
      </x:c>
      <x:c r="B29" s="10"/>
      <x:c r="C29" s="10"/>
      <x:c r="D29" s="10"/>
      <x:c r="E29" s="10"/>
      <x:c r="F29" s="10"/>
    </x:row>
    <x:row r="30" ht="19" customHeight="1">
      <x:c r="A30" t="str">
        <x:v>A single conditionally valid DCI peer is NOT enough to publish a reliable relative fair-value range.</x:v>
      </x:c>
      <x:c r="B30" s="10"/>
      <x:c r="C30" s="10"/>
      <x:c r="D30" s="10"/>
      <x:c r="E30" s="10"/>
      <x:c r="F30" s="10"/>
    </x:row>
    <x:row r="31" ht="19" customHeight="1">
      <x:c r="A31" t="str">
        <x:v>The two DCI indications are displayed for analytical cross-check ONLY, not blended into central value.</x:v>
      </x:c>
      <x:c r="B31" s="10"/>
      <x:c r="C31" s="10"/>
      <x:c r="D31" s="10"/>
      <x:c r="E31" s="10"/>
      <x:c r="F31" s="10"/>
    </x:row>
    <x:row r="32" ht="19" customHeight="1">
      <x:c r="B32" s="10"/>
      <x:c r="C32" s="10"/>
      <x:c r="D32" s="10"/>
      <x:c r="E32" s="10"/>
      <x:c r="F32" s="10"/>
    </x:row>
    <x:row r="33" ht="19" customHeight="1">
      <x:c r="B33" s="10"/>
      <x:c r="C33" s="10"/>
      <x:c r="D33" s="10"/>
      <x:c r="E33" s="10"/>
      <x:c r="F33" s="10"/>
    </x:row>
    <x:row r="34" ht="19" customHeight="1">
      <x:c r="B34" s="10"/>
      <x:c r="C34" s="10"/>
      <x:c r="D34" s="10"/>
      <x:c r="E34" s="10"/>
      <x:c r="F34" s="10"/>
    </x:row>
    <x:row r="35" ht="19" customHeight="1">
      <x:c r="B35" s="10"/>
      <x:c r="C35" s="10"/>
      <x:c r="D35" s="10"/>
      <x:c r="E35" s="10"/>
      <x:c r="F35" s="10"/>
    </x:row>
    <x:row r="36" ht="19" customHeight="1">
      <x:c r="B36" s="10"/>
      <x:c r="C36" s="10"/>
      <x:c r="D36" s="10"/>
      <x:c r="E36" s="10"/>
      <x:c r="F36" s="10"/>
    </x:row>
    <x:row r="37" ht="19" customHeight="1">
      <x:c r="B37" s="10"/>
      <x:c r="C37" s="10"/>
      <x:c r="D37" s="10"/>
      <x:c r="E37" s="10"/>
      <x:c r="F37" s="10"/>
    </x:row>
    <x:row r="38" ht="19" customHeight="1">
      <x:c r="B38" s="10"/>
      <x:c r="C38" s="10"/>
      <x:c r="D38" s="10"/>
      <x:c r="E38" s="10"/>
      <x:c r="F38" s="10"/>
    </x:row>
    <x:row r="39" ht="19" customHeight="1">
      <x:c r="B39" s="10"/>
      <x:c r="C39" s="10"/>
      <x:c r="D39" s="10"/>
      <x:c r="E39" s="10"/>
      <x:c r="F39" s="10"/>
    </x:row>
    <x:row r="40" ht="19" customHeight="1">
      <x:c r="B40" s="10"/>
      <x:c r="C40" s="10"/>
      <x:c r="D40" s="10"/>
      <x:c r="E40" s="10"/>
      <x:c r="F40" s="10"/>
    </x:row>
    <x:row r="41" ht="19" customHeight="1">
      <x:c r="B41" s="10"/>
      <x:c r="C41" s="10"/>
      <x:c r="D41" s="10"/>
      <x:c r="E41" s="10"/>
      <x:c r="F41" s="10"/>
    </x:row>
    <x:row r="42" ht="19" customHeight="1">
      <x:c r="B42" s="10"/>
      <x:c r="C42" s="10"/>
      <x:c r="D42" s="10"/>
      <x:c r="E42" s="10"/>
      <x:c r="F42" s="10"/>
    </x:row>
    <x:row r="43" ht="19" customHeight="1">
      <x:c r="B43" s="10"/>
      <x:c r="C43" s="10"/>
      <x:c r="D43" s="10"/>
      <x:c r="E43" s="10"/>
      <x:c r="F43" s="10"/>
    </x:row>
    <x:row r="44" ht="19" customHeight="1">
      <x:c r="B44" s="10"/>
      <x:c r="C44" s="10"/>
      <x:c r="D44" s="10"/>
      <x:c r="E44" s="10"/>
      <x:c r="F44" s="10"/>
    </x:row>
    <x:row r="45" ht="19" customHeight="1">
      <x:c r="B45" s="10"/>
      <x:c r="C45" s="10"/>
      <x:c r="D45" s="10"/>
      <x:c r="E45" s="10"/>
      <x:c r="F45" s="10"/>
    </x:row>
    <x:row r="46" ht="19" customHeight="1">
      <x:c r="B46" s="10"/>
      <x:c r="C46" s="10"/>
      <x:c r="D46" s="10"/>
      <x:c r="E46" s="10"/>
      <x:c r="F46" s="10"/>
    </x:row>
    <x:row r="47" ht="19" customHeight="1">
      <x:c r="B47" s="10"/>
      <x:c r="C47" s="10"/>
      <x:c r="D47" s="10"/>
      <x:c r="E47" s="10"/>
      <x:c r="F47" s="10"/>
    </x:row>
    <x:row r="48" ht="19" customHeight="1">
      <x:c r="B48" s="10"/>
      <x:c r="C48" s="10"/>
      <x:c r="D48" s="10"/>
      <x:c r="E48" s="10"/>
      <x:c r="F48" s="10"/>
    </x:row>
    <x:row r="49" ht="19" customHeight="1">
      <x:c r="B49" s="10"/>
      <x:c r="C49" s="10"/>
      <x:c r="D49" s="10"/>
      <x:c r="E49" s="10"/>
      <x:c r="F49" s="10"/>
    </x:row>
    <x:row r="50" ht="19" customHeight="1">
      <x:c r="B50" s="10"/>
      <x:c r="C50" s="10"/>
      <x:c r="D50" s="10"/>
      <x:c r="E50" s="10"/>
      <x:c r="F50" s="10"/>
    </x:row>
    <x:row r="51" ht="19" customHeight="1">
      <x:c r="B51" s="10"/>
      <x:c r="C51" s="10"/>
      <x:c r="D51" s="10"/>
      <x:c r="E51" s="10"/>
      <x:c r="F51" s="10"/>
    </x:row>
    <x:row r="52" ht="19" customHeight="1">
      <x:c r="B52" s="10"/>
      <x:c r="C52" s="10"/>
      <x:c r="D52" s="10"/>
      <x:c r="E52" s="10"/>
      <x:c r="F52" s="10"/>
    </x:row>
    <x:row r="53" ht="19" customHeight="1">
      <x:c r="B53" s="10"/>
      <x:c r="C53" s="10"/>
      <x:c r="D53" s="10"/>
      <x:c r="E53" s="10"/>
      <x:c r="F53" s="10"/>
    </x:row>
    <x:row r="54" ht="19" customHeight="1">
      <x:c r="B54" s="10"/>
      <x:c r="C54" s="10"/>
      <x:c r="D54" s="10"/>
      <x:c r="E54" s="10"/>
      <x:c r="F54" s="10"/>
    </x:row>
    <x:row r="55" ht="19" customHeight="1">
      <x:c r="B55" s="10"/>
      <x:c r="C55" s="10"/>
      <x:c r="D55" s="10"/>
      <x:c r="E55" s="10"/>
      <x:c r="F55" s="10"/>
    </x:row>
    <x:row r="56" ht="19" customHeight="1">
      <x:c r="B56" s="10"/>
      <x:c r="C56" s="10"/>
      <x:c r="D56" s="10"/>
      <x:c r="E56" s="10"/>
      <x:c r="F56" s="10"/>
    </x:row>
    <x:row r="57" ht="19" customHeight="1">
      <x:c r="B57" s="10"/>
      <x:c r="C57" s="10"/>
      <x:c r="D57" s="10"/>
      <x:c r="E57" s="10"/>
      <x:c r="F57" s="10"/>
    </x:row>
    <x:row r="58" ht="19" customHeight="1">
      <x:c r="B58" s="10"/>
      <x:c r="C58" s="10"/>
      <x:c r="D58" s="10"/>
      <x:c r="E58" s="10"/>
      <x:c r="F58" s="10"/>
    </x:row>
    <x:row r="59" ht="19" customHeight="1">
      <x:c r="B59" s="10"/>
      <x:c r="C59" s="10"/>
      <x:c r="D59" s="10"/>
      <x:c r="E59" s="10"/>
      <x:c r="F59" s="10"/>
    </x:row>
    <x:row r="60" ht="19" customHeight="1">
      <x:c r="B60" s="10"/>
      <x:c r="C60" s="10"/>
      <x:c r="D60" s="10"/>
      <x:c r="E60" s="10"/>
      <x:c r="F60" s="10"/>
    </x:row>
    <x:row r="61" ht="19" customHeight="1">
      <x:c r="B61" s="10"/>
      <x:c r="C61" s="10"/>
      <x:c r="D61" s="10"/>
      <x:c r="E61" s="10"/>
      <x:c r="F61" s="10"/>
    </x:row>
    <x:row r="62" ht="19" customHeight="1">
      <x:c r="B62" s="10"/>
      <x:c r="C62" s="10"/>
      <x:c r="D62" s="10"/>
      <x:c r="E62" s="10"/>
      <x:c r="F62" s="10"/>
    </x:row>
    <x:row r="63" ht="19" customHeight="1">
      <x:c r="B63" s="10"/>
      <x:c r="C63" s="10"/>
      <x:c r="D63" s="10"/>
      <x:c r="E63" s="10"/>
      <x:c r="F63" s="10"/>
    </x:row>
    <x:row r="64" ht="19" customHeight="1">
      <x:c r="B64" s="10"/>
      <x:c r="C64" s="10"/>
      <x:c r="D64" s="10"/>
      <x:c r="E64" s="10"/>
      <x:c r="F64" s="10"/>
    </x:row>
    <x:row r="65" ht="19" customHeight="1">
      <x:c r="B65" s="10"/>
      <x:c r="C65" s="10"/>
      <x:c r="D65" s="10"/>
      <x:c r="E65" s="10"/>
      <x:c r="F65" s="10"/>
    </x:row>
    <x:row r="66" ht="19" customHeight="1">
      <x:c r="B66" s="10"/>
      <x:c r="C66" s="10"/>
      <x:c r="D66" s="10"/>
      <x:c r="E66" s="10"/>
      <x:c r="F66" s="10"/>
    </x:row>
    <x:row r="67" ht="19" customHeight="1">
      <x:c r="B67" s="10"/>
      <x:c r="C67" s="10"/>
      <x:c r="D67" s="10"/>
      <x:c r="E67" s="10"/>
      <x:c r="F67" s="10"/>
    </x:row>
    <x:row r="68" ht="19" customHeight="1">
      <x:c r="B68" s="10"/>
      <x:c r="C68" s="10"/>
      <x:c r="D68" s="10"/>
      <x:c r="E68" s="10"/>
      <x:c r="F68" s="10"/>
    </x:row>
    <x:row r="69" ht="19" customHeight="1">
      <x:c r="B69" s="10"/>
      <x:c r="C69" s="10"/>
      <x:c r="D69" s="10"/>
      <x:c r="E69" s="10"/>
      <x:c r="F69" s="10"/>
    </x:row>
    <x:row r="70" ht="19" customHeight="1">
      <x:c r="B70" s="10"/>
      <x:c r="C70" s="10"/>
      <x:c r="D70" s="10"/>
      <x:c r="E70" s="10"/>
      <x:c r="F70" s="10"/>
    </x:row>
    <x:row r="71" ht="19" customHeight="1">
      <x:c r="B71" s="10"/>
      <x:c r="C71" s="10"/>
      <x:c r="D71" s="10"/>
      <x:c r="E71" s="10"/>
      <x:c r="F71" s="10"/>
    </x:row>
    <x:row r="72" ht="19" customHeight="1">
      <x:c r="B72" s="10"/>
      <x:c r="C72" s="10"/>
      <x:c r="D72" s="10"/>
      <x:c r="E72" s="10"/>
      <x:c r="F72" s="10"/>
    </x:row>
    <x:row r="73" ht="19" customHeight="1">
      <x:c r="B73" s="10"/>
      <x:c r="C73" s="10"/>
      <x:c r="D73" s="10"/>
      <x:c r="E73" s="10"/>
      <x:c r="F73" s="10"/>
    </x:row>
    <x:row r="74" ht="19" customHeight="1">
      <x:c r="B74" s="10"/>
      <x:c r="C74" s="10"/>
      <x:c r="D74" s="10"/>
      <x:c r="E74" s="10"/>
      <x:c r="F74" s="10"/>
    </x:row>
    <x:row r="75" ht="19" customHeight="1">
      <x:c r="B75" s="10"/>
      <x:c r="C75" s="10"/>
      <x:c r="D75" s="10"/>
      <x:c r="E75" s="10"/>
      <x:c r="F75" s="10"/>
    </x:row>
    <x:row r="76" ht="19" customHeight="1">
      <x:c r="B76" s="10"/>
      <x:c r="C76" s="10"/>
      <x:c r="D76" s="10"/>
      <x:c r="E76" s="10"/>
      <x:c r="F76" s="10"/>
    </x:row>
    <x:row r="77" ht="19" customHeight="1">
      <x:c r="B77" s="10"/>
      <x:c r="C77" s="10"/>
      <x:c r="D77" s="10"/>
      <x:c r="E77" s="10"/>
      <x:c r="F77" s="10"/>
    </x:row>
    <x:row r="78" ht="19" customHeight="1">
      <x:c r="B78" s="10"/>
      <x:c r="C78" s="10"/>
      <x:c r="D78" s="10"/>
      <x:c r="E78" s="10"/>
      <x:c r="F78" s="10"/>
    </x:row>
    <x:row r="79" ht="19" customHeight="1">
      <x:c r="B79" s="10"/>
      <x:c r="C79" s="10"/>
      <x:c r="D79" s="10"/>
      <x:c r="E79" s="10"/>
      <x:c r="F79" s="10"/>
    </x:row>
    <x:row r="80" ht="19" customHeight="1">
      <x:c r="B80" s="10"/>
      <x:c r="C80" s="10"/>
      <x:c r="D80" s="10"/>
      <x:c r="E80" s="10"/>
      <x:c r="F80" s="10"/>
    </x:row>
    <x:row r="81" ht="19" customHeight="1">
      <x:c r="B81" s="10"/>
      <x:c r="C81" s="10"/>
      <x:c r="D81" s="10"/>
      <x:c r="E81" s="10"/>
      <x:c r="F81" s="10"/>
    </x:row>
    <x:row r="82" ht="19" customHeight="1">
      <x:c r="B82" s="10"/>
      <x:c r="C82" s="10"/>
      <x:c r="D82" s="10"/>
      <x:c r="E82" s="10"/>
      <x:c r="F82" s="10"/>
    </x:row>
    <x:row r="83" ht="19" customHeight="1">
      <x:c r="B83" s="10"/>
      <x:c r="C83" s="10"/>
      <x:c r="D83" s="10"/>
      <x:c r="E83" s="10"/>
      <x:c r="F83" s="10"/>
    </x:row>
    <x:row r="84" ht="19" customHeight="1">
      <x:c r="B84" s="10"/>
      <x:c r="C84" s="10"/>
      <x:c r="D84" s="10"/>
      <x:c r="E84" s="10"/>
      <x:c r="F84" s="10"/>
    </x:row>
    <x:row r="85" ht="19" customHeight="1">
      <x:c r="B85" s="10"/>
      <x:c r="C85" s="10"/>
      <x:c r="D85" s="10"/>
      <x:c r="E85" s="10"/>
      <x:c r="F85" s="10"/>
    </x:row>
    <x:row r="86" ht="19" customHeight="1">
      <x:c r="B86" s="10"/>
      <x:c r="C86" s="10"/>
      <x:c r="D86" s="10"/>
      <x:c r="E86" s="10"/>
      <x:c r="F86" s="10"/>
    </x:row>
    <x:row r="87" ht="19" customHeight="1">
      <x:c r="B87" s="10"/>
      <x:c r="C87" s="10"/>
      <x:c r="D87" s="10"/>
      <x:c r="E87" s="10"/>
      <x:c r="F87" s="10"/>
    </x:row>
    <x:row r="88" ht="19" customHeight="1">
      <x:c r="B88" s="10"/>
      <x:c r="C88" s="10"/>
      <x:c r="D88" s="10"/>
      <x:c r="E88" s="10"/>
      <x:c r="F88" s="10"/>
    </x:row>
    <x:row r="89" ht="19" customHeight="1">
      <x:c r="B89" s="10"/>
      <x:c r="C89" s="10"/>
      <x:c r="D89" s="10"/>
      <x:c r="E89" s="10"/>
      <x:c r="F89" s="10"/>
    </x:row>
    <x:row r="90" ht="19" customHeight="1">
      <x:c r="B90" s="10"/>
      <x:c r="C90" s="10"/>
      <x:c r="D90" s="10"/>
      <x:c r="E90" s="10"/>
      <x:c r="F90" s="10"/>
    </x:row>
  </x:sheetData>
  <x:mergeCells>
    <x:mergeCell ref="A1:F2"/>
    <x:mergeCell ref="A3:F3"/>
    <x:mergeCell ref="A5:F5"/>
    <x:mergeCell ref="A25:F2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5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7" customHeight="1">
      <x:c r="A1" s="3" t="str">
        <x:v>11 Scenarios / Sensitivity</x:v>
      </x:c>
      <x:c r="B1" s="3"/>
      <x:c r="C1" s="3"/>
      <x:c r="D1" s="3"/>
      <x:c r="E1" s="3"/>
      <x:c r="F1" s="3"/>
      <x:c r="G1" s="3"/>
      <x:c r="H1" s="3"/>
      <x:c r="I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19" customHeight="1">
      <x:c r="A3" s="7" t="str">
        <x:v>Scenario engine and WACC × terminal-growth sensitivity • not a confidence interval</x:v>
      </x:c>
      <x:c r="B3" s="7"/>
      <x:c r="C3" s="7"/>
      <x:c r="D3" s="7"/>
      <x:c r="E3" s="7"/>
      <x:c r="F3" s="7"/>
      <x:c r="G3" s="7"/>
      <x:c r="H3" s="7"/>
      <x:c r="I3" s="7"/>
    </x:row>
    <x:row r="4" ht="19" customHeight="1"/>
    <x:row r="5" ht="19" customHeight="1">
      <x:c r="A5" s="14" t="str">
        <x:v>SCENARIOS</x:v>
      </x:c>
      <x:c r="B5" s="15"/>
      <x:c r="C5" s="15"/>
      <x:c r="D5" s="15"/>
      <x:c r="E5" s="15"/>
      <x:c r="F5" s="15"/>
      <x:c r="G5" s="15"/>
      <x:c r="H5" s="15"/>
      <x:c r="I5" s="15"/>
    </x:row>
    <x:row r="6" ht="19" customHeight="1">
      <x:c r="B6" s="10"/>
      <x:c r="C6" s="10"/>
      <x:c r="D6" s="10"/>
      <x:c r="E6" s="10"/>
      <x:c r="F6" s="10"/>
      <x:c r="G6" s="10"/>
      <x:c r="H6" s="10"/>
      <x:c r="I6" s="10"/>
    </x:row>
    <x:row r="7" ht="19" customHeight="1">
      <x:c r="A7" t="str">
        <x:v>Metric</x:v>
      </x:c>
      <x:c r="B7" s="10" t="str">
        <x:v>Bear</x:v>
      </x:c>
      <x:c r="C7" s="10" t="str">
        <x:v>Base</x:v>
      </x:c>
      <x:c r="D7" s="10" t="str">
        <x:v>Bull</x:v>
      </x:c>
      <x:c r="E7" s="10"/>
      <x:c r="F7" s="10"/>
      <x:c r="G7" s="10"/>
      <x:c r="H7" s="10"/>
      <x:c r="I7" s="10"/>
    </x:row>
    <x:row r="8" ht="19" customHeight="1">
      <x:c r="A8" t="str">
        <x:v>WACC</x:v>
      </x:c>
      <x:c r="B8" s="38" t="n">
        <x:f>'07 DCF Valuation'!G12</x:f>
        <x:v>0.12968188282959414</x:v>
      </x:c>
      <x:c r="C8" s="38" t="n">
        <x:f>'07 DCF Valuation'!G41</x:f>
        <x:v>0.11968188282959415</x:v>
      </x:c>
      <x:c r="D8" s="38" t="n">
        <x:f>'07 DCF Valuation'!G70</x:f>
        <x:v>0.11218188282959415</x:v>
      </x:c>
      <x:c r="E8" s="10"/>
      <x:c r="F8" s="10"/>
      <x:c r="G8" s="10"/>
      <x:c r="H8" s="10"/>
      <x:c r="I8" s="10"/>
    </x:row>
    <x:row r="9" ht="19" customHeight="1">
      <x:c r="A9" t="str">
        <x:v>Stable growth</x:v>
      </x:c>
      <x:c r="B9" s="38" t="n">
        <x:f>'07 DCF Valuation'!B17</x:f>
        <x:v>0.02</x:v>
      </x:c>
      <x:c r="C9" s="38" t="n">
        <x:f>'07 DCF Valuation'!B46</x:f>
        <x:v>0.03</x:v>
      </x:c>
      <x:c r="D9" s="38" t="n">
        <x:f>'07 DCF Valuation'!B75</x:f>
        <x:v>0.035</x:v>
      </x:c>
      <x:c r="E9" s="10"/>
      <x:c r="F9" s="10"/>
      <x:c r="G9" s="10"/>
      <x:c r="H9" s="10"/>
      <x:c r="I9" s="10"/>
    </x:row>
    <x:row r="10" ht="19" customHeight="1">
      <x:c r="A10" t="str">
        <x:v>Enterprise value (Rp m)</x:v>
      </x:c>
      <x:c r="B10" s="34" t="n">
        <x:f>'07 DCF Valuation'!B26</x:f>
        <x:v>8336832.45425668</x:v>
      </x:c>
      <x:c r="C10" s="34" t="n">
        <x:f>'07 DCF Valuation'!B55</x:f>
        <x:v>11977488.833523097</x:v>
      </x:c>
      <x:c r="D10" s="34" t="n">
        <x:f>'07 DCF Valuation'!B84</x:f>
        <x:v>16669855.537366997</x:v>
      </x:c>
      <x:c r="E10" s="10"/>
      <x:c r="F10" s="10"/>
      <x:c r="G10" s="10"/>
      <x:c r="H10" s="10"/>
      <x:c r="I10" s="10"/>
    </x:row>
    <x:row r="11" ht="19" customHeight="1">
      <x:c r="A11" t="str">
        <x:v>Parent common equity (Rp m)</x:v>
      </x:c>
      <x:c r="B11" s="34" t="n">
        <x:f>'07 DCF Valuation'!B29</x:f>
        <x:v>8115631.379982586</x:v>
      </x:c>
      <x:c r="C11" s="34" t="n">
        <x:f>'07 DCF Valuation'!B58</x:f>
        <x:v>12148441.129211502</x:v>
      </x:c>
      <x:c r="D11" s="34" t="n">
        <x:f>'07 DCF Valuation'!B87</x:f>
        <x:v>17207008.203017905</x:v>
      </x:c>
      <x:c r="E11" s="10"/>
      <x:c r="F11" s="10"/>
      <x:c r="G11" s="10"/>
      <x:c r="H11" s="10"/>
      <x:c r="I11" s="10"/>
    </x:row>
    <x:row r="12" ht="19" customHeight="1">
      <x:c r="A12" t="str">
        <x:v>Fair value/share (Rp)</x:v>
      </x:c>
      <x:c r="B12" s="42" t="n">
        <x:f>'07 DCF Valuation'!B30</x:f>
        <x:v>1409.2878587341581</x:v>
      </x:c>
      <x:c r="C12" s="42" t="n">
        <x:f>'07 DCF Valuation'!B59</x:f>
        <x:v>2109.5894803912583</x:v>
      </x:c>
      <x:c r="D12" s="42" t="n">
        <x:f>'07 DCF Valuation'!B88</x:f>
        <x:v>2988.0149319576703</x:v>
      </x:c>
      <x:c r="E12" s="10"/>
      <x:c r="F12" s="10"/>
      <x:c r="G12" s="10"/>
      <x:c r="H12" s="10"/>
      <x:c r="I12" s="10"/>
    </x:row>
    <x:row r="13" ht="19" customHeight="1">
      <x:c r="A13" t="str">
        <x:v>Upside vs market</x:v>
      </x:c>
      <x:c r="B13" s="38" t="n">
        <x:f>'07 DCF Valuation'!B31</x:f>
        <x:v>-0.1561150546502047</x:v>
      </x:c>
      <x:c r="C13" s="38" t="n">
        <x:f>'07 DCF Valuation'!B60</x:f>
        <x:v>0.26322723376722057</x:v>
      </x:c>
      <x:c r="D13" s="38" t="n">
        <x:f>'07 DCF Valuation'!B89</x:f>
        <x:v>0.7892304981782456</x:v>
      </x:c>
      <x:c r="E13" s="10"/>
      <x:c r="F13" s="10"/>
      <x:c r="G13" s="10"/>
      <x:c r="H13" s="10"/>
      <x:c r="I13" s="10"/>
    </x:row>
    <x:row r="14" ht="19" customHeight="1">
      <x:c r="A14" t="str">
        <x:v>Terminal share of value</x:v>
      </x:c>
      <x:c r="B14" s="38" t="n">
        <x:f>'07 DCF Valuation'!B27</x:f>
        <x:v>0.5566456849478691</x:v>
      </x:c>
      <x:c r="C14" s="38" t="n">
        <x:f>'07 DCF Valuation'!B56</x:f>
        <x:v>0.6075875525634622</x:v>
      </x:c>
      <x:c r="D14" s="38" t="n">
        <x:f>'07 DCF Valuation'!B85</x:f>
        <x:v>0.6673718951954651</x:v>
      </x:c>
      <x:c r="E14" s="10"/>
      <x:c r="F14" s="10"/>
      <x:c r="G14" s="10"/>
      <x:c r="H14" s="10"/>
      <x:c r="I14" s="10"/>
    </x:row>
    <x:row r="15" ht="19" customHeight="1">
      <x:c r="B15" s="10"/>
      <x:c r="C15" s="10"/>
      <x:c r="D15" s="10"/>
      <x:c r="E15" s="10"/>
      <x:c r="F15" s="10"/>
      <x:c r="G15" s="10"/>
      <x:c r="H15" s="10"/>
      <x:c r="I15" s="10"/>
    </x:row>
    <x:row r="16" ht="19" customHeight="1">
      <x:c r="B16" s="10"/>
      <x:c r="C16" s="10"/>
      <x:c r="D16" s="10"/>
      <x:c r="E16" s="10"/>
      <x:c r="F16" s="10"/>
      <x:c r="G16" s="10"/>
      <x:c r="H16" s="10"/>
      <x:c r="I16" s="10"/>
    </x:row>
    <x:row r="17" ht="19" customHeight="1">
      <x:c r="B17" s="10"/>
      <x:c r="C17" s="10"/>
      <x:c r="D17" s="10"/>
      <x:c r="E17" s="10"/>
      <x:c r="F17" s="10"/>
      <x:c r="G17" s="10"/>
      <x:c r="H17" s="10"/>
      <x:c r="I17" s="10"/>
    </x:row>
    <x:row r="18" ht="19" customHeight="1">
      <x:c r="A18" s="14" t="str">
        <x:v>WACC × TERMINAL GROWTH — SENSITIVITY (Rp/share)</x:v>
      </x:c>
      <x:c r="B18" s="15"/>
      <x:c r="C18" s="15"/>
      <x:c r="D18" s="15"/>
      <x:c r="E18" s="15"/>
      <x:c r="F18" s="15"/>
      <x:c r="G18" s="15"/>
      <x:c r="H18" s="15"/>
      <x:c r="I18" s="15"/>
    </x:row>
    <x:row r="19" ht="19" customHeight="1">
      <x:c r="B19" s="10"/>
      <x:c r="C19" s="10"/>
      <x:c r="D19" s="10"/>
      <x:c r="E19" s="10"/>
      <x:c r="F19" s="10"/>
      <x:c r="G19" s="10"/>
      <x:c r="H19" s="10"/>
      <x:c r="I19" s="10"/>
    </x:row>
    <x:row r="20" ht="19" customHeight="1">
      <x:c r="B20" s="40" t="n">
        <x:v>-0.01</x:v>
      </x:c>
      <x:c r="C20" s="40" t="n">
        <x:v>-0.005</x:v>
      </x:c>
      <x:c r="D20" s="40" t="n">
        <x:v>0</x:v>
      </x:c>
      <x:c r="E20" s="40" t="n">
        <x:v>0.005</x:v>
      </x:c>
      <x:c r="F20" s="40" t="n">
        <x:v>0.01</x:v>
      </x:c>
      <x:c r="G20" s="10"/>
      <x:c r="H20" s="10"/>
      <x:c r="I20" s="10"/>
    </x:row>
    <x:row r="21" ht="19" customHeight="1">
      <x:c r="A21" s="36" t="n">
        <x:v>-0.01</x:v>
      </x:c>
      <x:c r="B21" s="42" t="n">
        <x:f>IF('06 Cost of Equity &amp; WACC'!$B$30+$A21&gt;'03 Forecast Assumptions'!$C$17+B$20,(('07 DCF Valuation'!B39/(1+('06 Cost of Equity &amp; WACC'!$B$30+$A21))^'07 DCF Valuation'!B40+'07 DCF Valuation'!C39/(1+('06 Cost of Equity &amp; WACC'!$B$30+$A21))^'07 DCF Valuation'!C40+'07 DCF Valuation'!D39/(1+('06 Cost of Equity &amp; WACC'!$B$30+$A21))^'07 DCF Valuation'!D40+'07 DCF Valuation'!E39/(1+('06 Cost of Equity &amp; WACC'!$B$30+$A21))^'07 DCF Valuation'!E40+'07 DCF Valuation'!F39/(1+('06 Cost of Equity &amp; WACC'!$B$30+$A21))^'07 DCF Valuation'!F40+'07 DCF Valuation'!G39/(1+('06 Cost of Equity &amp; WACC'!$B$30+$A21))^'07 DCF Valuation'!G40+('07 DCF Valuation'!$B$49*(1+'03 Forecast Assumptions'!$C$17+B$20)*(1-('03 Forecast Assumptions'!$C$17+B$20)/'03 Forecast Assumptions'!$C$18))/('06 Cost of Equity &amp; WACC'!$B$30+$A21-'03 Forecast Assumptions'!$C$17-B$20)/(1+'06 Cost of Equity &amp; WACC'!$B$30+$A21)^'07 DCF Valuation'!$B$53)+'08 Equity Bridge'!$B$39)*1000000/'08 Equity Bridge'!$B$10,0)</x:f>
        <x:v>2331.8066352828914</x:v>
      </x:c>
      <x:c r="C21" s="42" t="n">
        <x:f>IF('06 Cost of Equity &amp; WACC'!$B$30+$A21&gt;'03 Forecast Assumptions'!$C$17+C$20,(('07 DCF Valuation'!B39/(1+('06 Cost of Equity &amp; WACC'!$B$30+$A21))^'07 DCF Valuation'!B40+'07 DCF Valuation'!C39/(1+('06 Cost of Equity &amp; WACC'!$B$30+$A21))^'07 DCF Valuation'!C40+'07 DCF Valuation'!D39/(1+('06 Cost of Equity &amp; WACC'!$B$30+$A21))^'07 DCF Valuation'!D40+'07 DCF Valuation'!E39/(1+('06 Cost of Equity &amp; WACC'!$B$30+$A21))^'07 DCF Valuation'!E40+'07 DCF Valuation'!F39/(1+('06 Cost of Equity &amp; WACC'!$B$30+$A21))^'07 DCF Valuation'!F40+'07 DCF Valuation'!G39/(1+('06 Cost of Equity &amp; WACC'!$B$30+$A21))^'07 DCF Valuation'!G40+('07 DCF Valuation'!$B$49*(1+'03 Forecast Assumptions'!$C$17+C$20)*(1-('03 Forecast Assumptions'!$C$17+C$20)/'03 Forecast Assumptions'!$C$18))/('06 Cost of Equity &amp; WACC'!$B$30+$A21-'03 Forecast Assumptions'!$C$17-C$20)/(1+'06 Cost of Equity &amp; WACC'!$B$30+$A21)^'07 DCF Valuation'!$B$53)+'08 Equity Bridge'!$B$39)*1000000/'08 Equity Bridge'!$B$10,0)</x:f>
        <x:v>2363.6105394391543</x:v>
      </x:c>
      <x:c r="D21" s="42" t="n">
        <x:f>IF('06 Cost of Equity &amp; WACC'!$B$30+$A21&gt;'03 Forecast Assumptions'!$C$17+D$20,(('07 DCF Valuation'!B39/(1+('06 Cost of Equity &amp; WACC'!$B$30+$A21))^'07 DCF Valuation'!B40+'07 DCF Valuation'!C39/(1+('06 Cost of Equity &amp; WACC'!$B$30+$A21))^'07 DCF Valuation'!C40+'07 DCF Valuation'!D39/(1+('06 Cost of Equity &amp; WACC'!$B$30+$A21))^'07 DCF Valuation'!D40+'07 DCF Valuation'!E39/(1+('06 Cost of Equity &amp; WACC'!$B$30+$A21))^'07 DCF Valuation'!E40+'07 DCF Valuation'!F39/(1+('06 Cost of Equity &amp; WACC'!$B$30+$A21))^'07 DCF Valuation'!F40+'07 DCF Valuation'!G39/(1+('06 Cost of Equity &amp; WACC'!$B$30+$A21))^'07 DCF Valuation'!G40+('07 DCF Valuation'!$B$49*(1+'03 Forecast Assumptions'!$C$17+D$20)*(1-('03 Forecast Assumptions'!$C$17+D$20)/'03 Forecast Assumptions'!$C$18))/('06 Cost of Equity &amp; WACC'!$B$30+$A21-'03 Forecast Assumptions'!$C$17-D$20)/(1+'06 Cost of Equity &amp; WACC'!$B$30+$A21)^'07 DCF Valuation'!$B$53)+'08 Equity Bridge'!$B$39)*1000000/'08 Equity Bridge'!$B$10,0)</x:f>
        <x:v>2398.757919018251</x:v>
      </x:c>
      <x:c r="E21" s="42" t="n">
        <x:f>IF('06 Cost of Equity &amp; WACC'!$B$30+$A21&gt;'03 Forecast Assumptions'!$C$17+E$20,(('07 DCF Valuation'!B39/(1+('06 Cost of Equity &amp; WACC'!$B$30+$A21))^'07 DCF Valuation'!B40+'07 DCF Valuation'!C39/(1+('06 Cost of Equity &amp; WACC'!$B$30+$A21))^'07 DCF Valuation'!C40+'07 DCF Valuation'!D39/(1+('06 Cost of Equity &amp; WACC'!$B$30+$A21))^'07 DCF Valuation'!D40+'07 DCF Valuation'!E39/(1+('06 Cost of Equity &amp; WACC'!$B$30+$A21))^'07 DCF Valuation'!E40+'07 DCF Valuation'!F39/(1+('06 Cost of Equity &amp; WACC'!$B$30+$A21))^'07 DCF Valuation'!F40+'07 DCF Valuation'!G39/(1+('06 Cost of Equity &amp; WACC'!$B$30+$A21))^'07 DCF Valuation'!G40+('07 DCF Valuation'!$B$49*(1+'03 Forecast Assumptions'!$C$17+E$20)*(1-('03 Forecast Assumptions'!$C$17+E$20)/'03 Forecast Assumptions'!$C$18))/('06 Cost of Equity &amp; WACC'!$B$30+$A21-'03 Forecast Assumptions'!$C$17-E$20)/(1+'06 Cost of Equity &amp; WACC'!$B$30+$A21)^'07 DCF Valuation'!$B$53)+'08 Equity Bridge'!$B$39)*1000000/'08 Equity Bridge'!$B$10,0)</x:f>
        <x:v>2437.920317498228</x:v>
      </x:c>
      <x:c r="F21" s="42" t="n">
        <x:f>IF('06 Cost of Equity &amp; WACC'!$B$30+$A21&gt;'03 Forecast Assumptions'!$C$17+F$20,(('07 DCF Valuation'!B39/(1+('06 Cost of Equity &amp; WACC'!$B$30+$A21))^'07 DCF Valuation'!B40+'07 DCF Valuation'!C39/(1+('06 Cost of Equity &amp; WACC'!$B$30+$A21))^'07 DCF Valuation'!C40+'07 DCF Valuation'!D39/(1+('06 Cost of Equity &amp; WACC'!$B$30+$A21))^'07 DCF Valuation'!D40+'07 DCF Valuation'!E39/(1+('06 Cost of Equity &amp; WACC'!$B$30+$A21))^'07 DCF Valuation'!E40+'07 DCF Valuation'!F39/(1+('06 Cost of Equity &amp; WACC'!$B$30+$A21))^'07 DCF Valuation'!F40+'07 DCF Valuation'!G39/(1+('06 Cost of Equity &amp; WACC'!$B$30+$A21))^'07 DCF Valuation'!G40+('07 DCF Valuation'!$B$49*(1+'03 Forecast Assumptions'!$C$17+F$20)*(1-('03 Forecast Assumptions'!$C$17+F$20)/'03 Forecast Assumptions'!$C$18))/('06 Cost of Equity &amp; WACC'!$B$30+$A21-'03 Forecast Assumptions'!$C$17-F$20)/(1+'06 Cost of Equity &amp; WACC'!$B$30+$A21)^'07 DCF Valuation'!$B$53)+'08 Equity Bridge'!$B$39)*1000000/'08 Equity Bridge'!$B$10,0)</x:f>
        <x:v>2481.9620238602047</x:v>
      </x:c>
      <x:c r="G21" s="10"/>
      <x:c r="H21" s="10"/>
      <x:c r="I21" s="10"/>
    </x:row>
    <x:row r="22" ht="19" customHeight="1">
      <x:c r="A22" s="36" t="n">
        <x:v>-0.005</x:v>
      </x:c>
      <x:c r="B22" s="42" t="n">
        <x:f>IF('06 Cost of Equity &amp; WACC'!$B$30+$A22&gt;'03 Forecast Assumptions'!$C$17+B$20,(('07 DCF Valuation'!B39/(1+('06 Cost of Equity &amp; WACC'!$B$30+$A22))^'07 DCF Valuation'!B40+'07 DCF Valuation'!C39/(1+('06 Cost of Equity &amp; WACC'!$B$30+$A22))^'07 DCF Valuation'!C40+'07 DCF Valuation'!D39/(1+('06 Cost of Equity &amp; WACC'!$B$30+$A22))^'07 DCF Valuation'!D40+'07 DCF Valuation'!E39/(1+('06 Cost of Equity &amp; WACC'!$B$30+$A22))^'07 DCF Valuation'!E40+'07 DCF Valuation'!F39/(1+('06 Cost of Equity &amp; WACC'!$B$30+$A22))^'07 DCF Valuation'!F40+'07 DCF Valuation'!G39/(1+('06 Cost of Equity &amp; WACC'!$B$30+$A22))^'07 DCF Valuation'!G40+('07 DCF Valuation'!$B$49*(1+'03 Forecast Assumptions'!$C$17+B$20)*(1-('03 Forecast Assumptions'!$C$17+B$20)/'03 Forecast Assumptions'!$C$18))/('06 Cost of Equity &amp; WACC'!$B$30+$A22-'03 Forecast Assumptions'!$C$17-B$20)/(1+'06 Cost of Equity &amp; WACC'!$B$30+$A22)^'07 DCF Valuation'!$B$53)+'08 Equity Bridge'!$B$39)*1000000/'08 Equity Bridge'!$B$10,0)</x:f>
        <x:v>2213.09906788638</x:v>
      </x:c>
      <x:c r="C22" s="42" t="n">
        <x:f>IF('06 Cost of Equity &amp; WACC'!$B$30+$A22&gt;'03 Forecast Assumptions'!$C$17+C$20,(('07 DCF Valuation'!B39/(1+('06 Cost of Equity &amp; WACC'!$B$30+$A22))^'07 DCF Valuation'!B40+'07 DCF Valuation'!C39/(1+('06 Cost of Equity &amp; WACC'!$B$30+$A22))^'07 DCF Valuation'!C40+'07 DCF Valuation'!D39/(1+('06 Cost of Equity &amp; WACC'!$B$30+$A22))^'07 DCF Valuation'!D40+'07 DCF Valuation'!E39/(1+('06 Cost of Equity &amp; WACC'!$B$30+$A22))^'07 DCF Valuation'!E40+'07 DCF Valuation'!F39/(1+('06 Cost of Equity &amp; WACC'!$B$30+$A22))^'07 DCF Valuation'!F40+'07 DCF Valuation'!G39/(1+('06 Cost of Equity &amp; WACC'!$B$30+$A22))^'07 DCF Valuation'!G40+('07 DCF Valuation'!$B$49*(1+'03 Forecast Assumptions'!$C$17+C$20)*(1-('03 Forecast Assumptions'!$C$17+C$20)/'03 Forecast Assumptions'!$C$18))/('06 Cost of Equity &amp; WACC'!$B$30+$A22-'03 Forecast Assumptions'!$C$17-C$20)/(1+'06 Cost of Equity &amp; WACC'!$B$30+$A22)^'07 DCF Valuation'!$B$53)+'08 Equity Bridge'!$B$39)*1000000/'08 Equity Bridge'!$B$10,0)</x:f>
        <x:v>2238.2149462047605</x:v>
      </x:c>
      <x:c r="D22" s="42" t="n">
        <x:f>IF('06 Cost of Equity &amp; WACC'!$B$30+$A22&gt;'03 Forecast Assumptions'!$C$17+D$20,(('07 DCF Valuation'!B39/(1+('06 Cost of Equity &amp; WACC'!$B$30+$A22))^'07 DCF Valuation'!B40+'07 DCF Valuation'!C39/(1+('06 Cost of Equity &amp; WACC'!$B$30+$A22))^'07 DCF Valuation'!C40+'07 DCF Valuation'!D39/(1+('06 Cost of Equity &amp; WACC'!$B$30+$A22))^'07 DCF Valuation'!D40+'07 DCF Valuation'!E39/(1+('06 Cost of Equity &amp; WACC'!$B$30+$A22))^'07 DCF Valuation'!E40+'07 DCF Valuation'!F39/(1+('06 Cost of Equity &amp; WACC'!$B$30+$A22))^'07 DCF Valuation'!F40+'07 DCF Valuation'!G39/(1+('06 Cost of Equity &amp; WACC'!$B$30+$A22))^'07 DCF Valuation'!G40+('07 DCF Valuation'!$B$49*(1+'03 Forecast Assumptions'!$C$17+D$20)*(1-('03 Forecast Assumptions'!$C$17+D$20)/'03 Forecast Assumptions'!$C$18))/('06 Cost of Equity &amp; WACC'!$B$30+$A22-'03 Forecast Assumptions'!$C$17-D$20)/(1+'06 Cost of Equity &amp; WACC'!$B$30+$A22)^'07 DCF Valuation'!$B$53)+'08 Equity Bridge'!$B$39)*1000000/'08 Equity Bridge'!$B$10,0)</x:f>
        <x:v>2265.701168050436</x:v>
      </x:c>
      <x:c r="E22" s="42" t="n">
        <x:f>IF('06 Cost of Equity &amp; WACC'!$B$30+$A22&gt;'03 Forecast Assumptions'!$C$17+E$20,(('07 DCF Valuation'!B39/(1+('06 Cost of Equity &amp; WACC'!$B$30+$A22))^'07 DCF Valuation'!B40+'07 DCF Valuation'!C39/(1+('06 Cost of Equity &amp; WACC'!$B$30+$A22))^'07 DCF Valuation'!C40+'07 DCF Valuation'!D39/(1+('06 Cost of Equity &amp; WACC'!$B$30+$A22))^'07 DCF Valuation'!D40+'07 DCF Valuation'!E39/(1+('06 Cost of Equity &amp; WACC'!$B$30+$A22))^'07 DCF Valuation'!E40+'07 DCF Valuation'!F39/(1+('06 Cost of Equity &amp; WACC'!$B$30+$A22))^'07 DCF Valuation'!F40+'07 DCF Valuation'!G39/(1+('06 Cost of Equity &amp; WACC'!$B$30+$A22))^'07 DCF Valuation'!G40+('07 DCF Valuation'!$B$49*(1+'03 Forecast Assumptions'!$C$17+E$20)*(1-('03 Forecast Assumptions'!$C$17+E$20)/'03 Forecast Assumptions'!$C$18))/('06 Cost of Equity &amp; WACC'!$B$30+$A22-'03 Forecast Assumptions'!$C$17-E$20)/(1+'06 Cost of Equity &amp; WACC'!$B$30+$A22)^'07 DCF Valuation'!$B$53)+'08 Equity Bridge'!$B$39)*1000000/'08 Equity Bridge'!$B$10,0)</x:f>
        <x:v>2296.0039471880273</x:v>
      </x:c>
      <x:c r="F22" s="42" t="n">
        <x:f>IF('06 Cost of Equity &amp; WACC'!$B$30+$A22&gt;'03 Forecast Assumptions'!$C$17+F$20,(('07 DCF Valuation'!B39/(1+('06 Cost of Equity &amp; WACC'!$B$30+$A22))^'07 DCF Valuation'!B40+'07 DCF Valuation'!C39/(1+('06 Cost of Equity &amp; WACC'!$B$30+$A22))^'07 DCF Valuation'!C40+'07 DCF Valuation'!D39/(1+('06 Cost of Equity &amp; WACC'!$B$30+$A22))^'07 DCF Valuation'!D40+'07 DCF Valuation'!E39/(1+('06 Cost of Equity &amp; WACC'!$B$30+$A22))^'07 DCF Valuation'!E40+'07 DCF Valuation'!F39/(1+('06 Cost of Equity &amp; WACC'!$B$30+$A22))^'07 DCF Valuation'!F40+'07 DCF Valuation'!G39/(1+('06 Cost of Equity &amp; WACC'!$B$30+$A22))^'07 DCF Valuation'!G40+('07 DCF Valuation'!$B$49*(1+'03 Forecast Assumptions'!$C$17+F$20)*(1-('03 Forecast Assumptions'!$C$17+F$20)/'03 Forecast Assumptions'!$C$18))/('06 Cost of Equity &amp; WACC'!$B$30+$A22-'03 Forecast Assumptions'!$C$17-F$20)/(1+'06 Cost of Equity &amp; WACC'!$B$30+$A22)^'07 DCF Valuation'!$B$53)+'08 Equity Bridge'!$B$39)*1000000/'08 Equity Bridge'!$B$10,0)</x:f>
        <x:v>2329.6889945741673</x:v>
      </x:c>
      <x:c r="G22" s="10"/>
      <x:c r="H22" s="10"/>
      <x:c r="I22" s="10"/>
    </x:row>
    <x:row r="23" ht="19" customHeight="1">
      <x:c r="A23" s="36" t="n">
        <x:v>0</x:v>
      </x:c>
      <x:c r="B23" s="42" t="n">
        <x:f>IF('06 Cost of Equity &amp; WACC'!$B$30+$A23&gt;'03 Forecast Assumptions'!$C$17+B$20,(('07 DCF Valuation'!B39/(1+('06 Cost of Equity &amp; WACC'!$B$30+$A23))^'07 DCF Valuation'!B40+'07 DCF Valuation'!C39/(1+('06 Cost of Equity &amp; WACC'!$B$30+$A23))^'07 DCF Valuation'!C40+'07 DCF Valuation'!D39/(1+('06 Cost of Equity &amp; WACC'!$B$30+$A23))^'07 DCF Valuation'!D40+'07 DCF Valuation'!E39/(1+('06 Cost of Equity &amp; WACC'!$B$30+$A23))^'07 DCF Valuation'!E40+'07 DCF Valuation'!F39/(1+('06 Cost of Equity &amp; WACC'!$B$30+$A23))^'07 DCF Valuation'!F40+'07 DCF Valuation'!G39/(1+('06 Cost of Equity &amp; WACC'!$B$30+$A23))^'07 DCF Valuation'!G40+('07 DCF Valuation'!$B$49*(1+'03 Forecast Assumptions'!$C$17+B$20)*(1-('03 Forecast Assumptions'!$C$17+B$20)/'03 Forecast Assumptions'!$C$18))/('06 Cost of Equity &amp; WACC'!$B$30+$A23-'03 Forecast Assumptions'!$C$17-B$20)/(1+'06 Cost of Equity &amp; WACC'!$B$30+$A23)^'07 DCF Valuation'!$B$53)+'08 Equity Bridge'!$B$39)*1000000/'08 Equity Bridge'!$B$10,0)</x:f>
        <x:v>2106.3951240293004</x:v>
      </x:c>
      <x:c r="C23" s="42" t="n">
        <x:f>IF('06 Cost of Equity &amp; WACC'!$B$30+$A23&gt;'03 Forecast Assumptions'!$C$17+C$20,(('07 DCF Valuation'!B39/(1+('06 Cost of Equity &amp; WACC'!$B$30+$A23))^'07 DCF Valuation'!B40+'07 DCF Valuation'!C39/(1+('06 Cost of Equity &amp; WACC'!$B$30+$A23))^'07 DCF Valuation'!C40+'07 DCF Valuation'!D39/(1+('06 Cost of Equity &amp; WACC'!$B$30+$A23))^'07 DCF Valuation'!D40+'07 DCF Valuation'!E39/(1+('06 Cost of Equity &amp; WACC'!$B$30+$A23))^'07 DCF Valuation'!E40+'07 DCF Valuation'!F39/(1+('06 Cost of Equity &amp; WACC'!$B$30+$A23))^'07 DCF Valuation'!F40+'07 DCF Valuation'!G39/(1+('06 Cost of Equity &amp; WACC'!$B$30+$A23))^'07 DCF Valuation'!G40+('07 DCF Valuation'!$B$49*(1+'03 Forecast Assumptions'!$C$17+C$20)*(1-('03 Forecast Assumptions'!$C$17+C$20)/'03 Forecast Assumptions'!$C$18))/('06 Cost of Equity &amp; WACC'!$B$30+$A23-'03 Forecast Assumptions'!$C$17-C$20)/(1+'06 Cost of Equity &amp; WACC'!$B$30+$A23)^'07 DCF Valuation'!$B$53)+'08 Equity Bridge'!$B$39)*1000000/'08 Equity Bridge'!$B$10,0)</x:f>
        <x:v>2126.122995720777</x:v>
      </x:c>
      <x:c r="D23" s="42" t="n">
        <x:f>IF('06 Cost of Equity &amp; WACC'!$B$30+$A23&gt;'03 Forecast Assumptions'!$C$17+D$20,(('07 DCF Valuation'!B39/(1+('06 Cost of Equity &amp; WACC'!$B$30+$A23))^'07 DCF Valuation'!B40+'07 DCF Valuation'!C39/(1+('06 Cost of Equity &amp; WACC'!$B$30+$A23))^'07 DCF Valuation'!C40+'07 DCF Valuation'!D39/(1+('06 Cost of Equity &amp; WACC'!$B$30+$A23))^'07 DCF Valuation'!D40+'07 DCF Valuation'!E39/(1+('06 Cost of Equity &amp; WACC'!$B$30+$A23))^'07 DCF Valuation'!E40+'07 DCF Valuation'!F39/(1+('06 Cost of Equity &amp; WACC'!$B$30+$A23))^'07 DCF Valuation'!F40+'07 DCF Valuation'!G39/(1+('06 Cost of Equity &amp; WACC'!$B$30+$A23))^'07 DCF Valuation'!G40+('07 DCF Valuation'!$B$49*(1+'03 Forecast Assumptions'!$C$17+D$20)*(1-('03 Forecast Assumptions'!$C$17+D$20)/'03 Forecast Assumptions'!$C$18))/('06 Cost of Equity &amp; WACC'!$B$30+$A23-'03 Forecast Assumptions'!$C$17-D$20)/(1+'06 Cost of Equity &amp; WACC'!$B$30+$A23)^'07 DCF Valuation'!$B$53)+'08 Equity Bridge'!$B$39)*1000000/'08 Equity Bridge'!$B$10,0)</x:f>
        <x:v>2147.5011835357054</x:v>
      </x:c>
      <x:c r="E23" s="42" t="n">
        <x:f>IF('06 Cost of Equity &amp; WACC'!$B$30+$A23&gt;'03 Forecast Assumptions'!$C$17+E$20,(('07 DCF Valuation'!B39/(1+('06 Cost of Equity &amp; WACC'!$B$30+$A23))^'07 DCF Valuation'!B40+'07 DCF Valuation'!C39/(1+('06 Cost of Equity &amp; WACC'!$B$30+$A23))^'07 DCF Valuation'!C40+'07 DCF Valuation'!D39/(1+('06 Cost of Equity &amp; WACC'!$B$30+$A23))^'07 DCF Valuation'!D40+'07 DCF Valuation'!E39/(1+('06 Cost of Equity &amp; WACC'!$B$30+$A23))^'07 DCF Valuation'!E40+'07 DCF Valuation'!F39/(1+('06 Cost of Equity &amp; WACC'!$B$30+$A23))^'07 DCF Valuation'!F40+'07 DCF Valuation'!G39/(1+('06 Cost of Equity &amp; WACC'!$B$30+$A23))^'07 DCF Valuation'!G40+('07 DCF Valuation'!$B$49*(1+'03 Forecast Assumptions'!$C$17+E$20)*(1-('03 Forecast Assumptions'!$C$17+E$20)/'03 Forecast Assumptions'!$C$18))/('06 Cost of Equity &amp; WACC'!$B$30+$A23-'03 Forecast Assumptions'!$C$17-E$20)/(1+'06 Cost of Equity &amp; WACC'!$B$30+$A23)^'07 DCF Valuation'!$B$53)+'08 Equity Bridge'!$B$39)*1000000/'08 Equity Bridge'!$B$10,0)</x:f>
        <x:v>2170.8220137784206</x:v>
      </x:c>
      <x:c r="F23" s="42" t="n">
        <x:f>IF('06 Cost of Equity &amp; WACC'!$B$30+$A23&gt;'03 Forecast Assumptions'!$C$17+F$20,(('07 DCF Valuation'!B39/(1+('06 Cost of Equity &amp; WACC'!$B$30+$A23))^'07 DCF Valuation'!B40+'07 DCF Valuation'!C39/(1+('06 Cost of Equity &amp; WACC'!$B$30+$A23))^'07 DCF Valuation'!C40+'07 DCF Valuation'!D39/(1+('06 Cost of Equity &amp; WACC'!$B$30+$A23))^'07 DCF Valuation'!D40+'07 DCF Valuation'!E39/(1+('06 Cost of Equity &amp; WACC'!$B$30+$A23))^'07 DCF Valuation'!E40+'07 DCF Valuation'!F39/(1+('06 Cost of Equity &amp; WACC'!$B$30+$A23))^'07 DCF Valuation'!F40+'07 DCF Valuation'!G39/(1+('06 Cost of Equity &amp; WACC'!$B$30+$A23))^'07 DCF Valuation'!G40+('07 DCF Valuation'!$B$49*(1+'03 Forecast Assumptions'!$C$17+F$20)*(1-('03 Forecast Assumptions'!$C$17+F$20)/'03 Forecast Assumptions'!$C$18))/('06 Cost of Equity &amp; WACC'!$B$30+$A23-'03 Forecast Assumptions'!$C$17-F$20)/(1+'06 Cost of Equity &amp; WACC'!$B$30+$A23)^'07 DCF Valuation'!$B$53)+'08 Equity Bridge'!$B$39)*1000000/'08 Equity Bridge'!$B$10,0)</x:f>
        <x:v>2196.451186095845</x:v>
      </x:c>
      <x:c r="G23" s="10"/>
      <x:c r="H23" s="10"/>
      <x:c r="I23" s="10"/>
    </x:row>
    <x:row r="24" ht="19" customHeight="1">
      <x:c r="A24" s="36" t="n">
        <x:v>0.005</x:v>
      </x:c>
      <x:c r="B24" s="42" t="n">
        <x:f>IF('06 Cost of Equity &amp; WACC'!$B$30+$A24&gt;'03 Forecast Assumptions'!$C$17+B$20,(('07 DCF Valuation'!B39/(1+('06 Cost of Equity &amp; WACC'!$B$30+$A24))^'07 DCF Valuation'!B40+'07 DCF Valuation'!C39/(1+('06 Cost of Equity &amp; WACC'!$B$30+$A24))^'07 DCF Valuation'!C40+'07 DCF Valuation'!D39/(1+('06 Cost of Equity &amp; WACC'!$B$30+$A24))^'07 DCF Valuation'!D40+'07 DCF Valuation'!E39/(1+('06 Cost of Equity &amp; WACC'!$B$30+$A24))^'07 DCF Valuation'!E40+'07 DCF Valuation'!F39/(1+('06 Cost of Equity &amp; WACC'!$B$30+$A24))^'07 DCF Valuation'!F40+'07 DCF Valuation'!G39/(1+('06 Cost of Equity &amp; WACC'!$B$30+$A24))^'07 DCF Valuation'!G40+('07 DCF Valuation'!$B$49*(1+'03 Forecast Assumptions'!$C$17+B$20)*(1-('03 Forecast Assumptions'!$C$17+B$20)/'03 Forecast Assumptions'!$C$18))/('06 Cost of Equity &amp; WACC'!$B$30+$A24-'03 Forecast Assumptions'!$C$17-B$20)/(1+'06 Cost of Equity &amp; WACC'!$B$30+$A24)^'07 DCF Valuation'!$B$53)+'08 Equity Bridge'!$B$39)*1000000/'08 Equity Bridge'!$B$10,0)</x:f>
        <x:v>2009.970283381439</x:v>
      </x:c>
      <x:c r="C24" s="42" t="n">
        <x:f>IF('06 Cost of Equity &amp; WACC'!$B$30+$A24&gt;'03 Forecast Assumptions'!$C$17+C$20,(('07 DCF Valuation'!B39/(1+('06 Cost of Equity &amp; WACC'!$B$30+$A24))^'07 DCF Valuation'!B40+'07 DCF Valuation'!C39/(1+('06 Cost of Equity &amp; WACC'!$B$30+$A24))^'07 DCF Valuation'!C40+'07 DCF Valuation'!D39/(1+('06 Cost of Equity &amp; WACC'!$B$30+$A24))^'07 DCF Valuation'!D40+'07 DCF Valuation'!E39/(1+('06 Cost of Equity &amp; WACC'!$B$30+$A24))^'07 DCF Valuation'!E40+'07 DCF Valuation'!F39/(1+('06 Cost of Equity &amp; WACC'!$B$30+$A24))^'07 DCF Valuation'!F40+'07 DCF Valuation'!G39/(1+('06 Cost of Equity &amp; WACC'!$B$30+$A24))^'07 DCF Valuation'!G40+('07 DCF Valuation'!$B$49*(1+'03 Forecast Assumptions'!$C$17+C$20)*(1-('03 Forecast Assumptions'!$C$17+C$20)/'03 Forecast Assumptions'!$C$18))/('06 Cost of Equity &amp; WACC'!$B$30+$A24-'03 Forecast Assumptions'!$C$17-C$20)/(1+'06 Cost of Equity &amp; WACC'!$B$30+$A24)^'07 DCF Valuation'!$B$53)+'08 Equity Bridge'!$B$39)*1000000/'08 Equity Bridge'!$B$10,0)</x:f>
        <x:v>2025.3291939707547</x:v>
      </x:c>
      <x:c r="D24" s="42" t="n">
        <x:f>IF('06 Cost of Equity &amp; WACC'!$B$30+$A24&gt;'03 Forecast Assumptions'!$C$17+D$20,(('07 DCF Valuation'!B39/(1+('06 Cost of Equity &amp; WACC'!$B$30+$A24))^'07 DCF Valuation'!B40+'07 DCF Valuation'!C39/(1+('06 Cost of Equity &amp; WACC'!$B$30+$A24))^'07 DCF Valuation'!C40+'07 DCF Valuation'!D39/(1+('06 Cost of Equity &amp; WACC'!$B$30+$A24))^'07 DCF Valuation'!D40+'07 DCF Valuation'!E39/(1+('06 Cost of Equity &amp; WACC'!$B$30+$A24))^'07 DCF Valuation'!E40+'07 DCF Valuation'!F39/(1+('06 Cost of Equity &amp; WACC'!$B$30+$A24))^'07 DCF Valuation'!F40+'07 DCF Valuation'!G39/(1+('06 Cost of Equity &amp; WACC'!$B$30+$A24))^'07 DCF Valuation'!G40+('07 DCF Valuation'!$B$49*(1+'03 Forecast Assumptions'!$C$17+D$20)*(1-('03 Forecast Assumptions'!$C$17+D$20)/'03 Forecast Assumptions'!$C$18))/('06 Cost of Equity &amp; WACC'!$B$30+$A24-'03 Forecast Assumptions'!$C$17-D$20)/(1+'06 Cost of Equity &amp; WACC'!$B$30+$A24)^'07 DCF Valuation'!$B$53)+'08 Equity Bridge'!$B$39)*1000000/'08 Equity Bridge'!$B$10,0)</x:f>
        <x:v>2041.8017349966335</x:v>
      </x:c>
      <x:c r="E24" s="42" t="n">
        <x:f>IF('06 Cost of Equity &amp; WACC'!$B$30+$A24&gt;'03 Forecast Assumptions'!$C$17+E$20,(('07 DCF Valuation'!B39/(1+('06 Cost of Equity &amp; WACC'!$B$30+$A24))^'07 DCF Valuation'!B40+'07 DCF Valuation'!C39/(1+('06 Cost of Equity &amp; WACC'!$B$30+$A24))^'07 DCF Valuation'!C40+'07 DCF Valuation'!D39/(1+('06 Cost of Equity &amp; WACC'!$B$30+$A24))^'07 DCF Valuation'!D40+'07 DCF Valuation'!E39/(1+('06 Cost of Equity &amp; WACC'!$B$30+$A24))^'07 DCF Valuation'!E40+'07 DCF Valuation'!F39/(1+('06 Cost of Equity &amp; WACC'!$B$30+$A24))^'07 DCF Valuation'!F40+'07 DCF Valuation'!G39/(1+('06 Cost of Equity &amp; WACC'!$B$30+$A24))^'07 DCF Valuation'!G40+('07 DCF Valuation'!$B$49*(1+'03 Forecast Assumptions'!$C$17+E$20)*(1-('03 Forecast Assumptions'!$C$17+E$20)/'03 Forecast Assumptions'!$C$18))/('06 Cost of Equity &amp; WACC'!$B$30+$A24-'03 Forecast Assumptions'!$C$17-E$20)/(1+'06 Cost of Equity &amp; WACC'!$B$30+$A24)^'07 DCF Valuation'!$B$53)+'08 Equity Bridge'!$B$39)*1000000/'08 Equity Bridge'!$B$10,0)</x:f>
        <x:v>2059.574169905174</x:v>
      </x:c>
      <x:c r="F24" s="42" t="n">
        <x:f>IF('06 Cost of Equity &amp; WACC'!$B$30+$A24&gt;'03 Forecast Assumptions'!$C$17+F$20,(('07 DCF Valuation'!B39/(1+('06 Cost of Equity &amp; WACC'!$B$30+$A24))^'07 DCF Valuation'!B40+'07 DCF Valuation'!C39/(1+('06 Cost of Equity &amp; WACC'!$B$30+$A24))^'07 DCF Valuation'!C40+'07 DCF Valuation'!D39/(1+('06 Cost of Equity &amp; WACC'!$B$30+$A24))^'07 DCF Valuation'!D40+'07 DCF Valuation'!E39/(1+('06 Cost of Equity &amp; WACC'!$B$30+$A24))^'07 DCF Valuation'!E40+'07 DCF Valuation'!F39/(1+('06 Cost of Equity &amp; WACC'!$B$30+$A24))^'07 DCF Valuation'!F40+'07 DCF Valuation'!G39/(1+('06 Cost of Equity &amp; WACC'!$B$30+$A24))^'07 DCF Valuation'!G40+('07 DCF Valuation'!$B$49*(1+'03 Forecast Assumptions'!$C$17+F$20)*(1-('03 Forecast Assumptions'!$C$17+F$20)/'03 Forecast Assumptions'!$C$18))/('06 Cost of Equity &amp; WACC'!$B$30+$A24-'03 Forecast Assumptions'!$C$17-F$20)/(1+'06 Cost of Equity &amp; WACC'!$B$30+$A24)^'07 DCF Valuation'!$B$53)+'08 Equity Bridge'!$B$39)*1000000/'08 Equity Bridge'!$B$10,0)</x:f>
        <x:v>2078.876753475656</x:v>
      </x:c>
      <x:c r="G24" s="10"/>
      <x:c r="H24" s="10"/>
      <x:c r="I24" s="10"/>
    </x:row>
    <x:row r="25" ht="19" customHeight="1">
      <x:c r="A25" s="36" t="n">
        <x:v>0.01</x:v>
      </x:c>
      <x:c r="B25" s="42" t="n">
        <x:f>IF('06 Cost of Equity &amp; WACC'!$B$30+$A25&gt;'03 Forecast Assumptions'!$C$17+B$20,(('07 DCF Valuation'!B39/(1+('06 Cost of Equity &amp; WACC'!$B$30+$A25))^'07 DCF Valuation'!B40+'07 DCF Valuation'!C39/(1+('06 Cost of Equity &amp; WACC'!$B$30+$A25))^'07 DCF Valuation'!C40+'07 DCF Valuation'!D39/(1+('06 Cost of Equity &amp; WACC'!$B$30+$A25))^'07 DCF Valuation'!D40+'07 DCF Valuation'!E39/(1+('06 Cost of Equity &amp; WACC'!$B$30+$A25))^'07 DCF Valuation'!E40+'07 DCF Valuation'!F39/(1+('06 Cost of Equity &amp; WACC'!$B$30+$A25))^'07 DCF Valuation'!F40+'07 DCF Valuation'!G39/(1+('06 Cost of Equity &amp; WACC'!$B$30+$A25))^'07 DCF Valuation'!G40+('07 DCF Valuation'!$B$49*(1+'03 Forecast Assumptions'!$C$17+B$20)*(1-('03 Forecast Assumptions'!$C$17+B$20)/'03 Forecast Assumptions'!$C$18))/('06 Cost of Equity &amp; WACC'!$B$30+$A25-'03 Forecast Assumptions'!$C$17-B$20)/(1+'06 Cost of Equity &amp; WACC'!$B$30+$A25)^'07 DCF Valuation'!$B$53)+'08 Equity Bridge'!$B$39)*1000000/'08 Equity Bridge'!$B$10,0)</x:f>
        <x:v>1922.4146809430465</x:v>
      </x:c>
      <x:c r="C25" s="42" t="n">
        <x:f>IF('06 Cost of Equity &amp; WACC'!$B$30+$A25&gt;'03 Forecast Assumptions'!$C$17+C$20,(('07 DCF Valuation'!B39/(1+('06 Cost of Equity &amp; WACC'!$B$30+$A25))^'07 DCF Valuation'!B40+'07 DCF Valuation'!C39/(1+('06 Cost of Equity &amp; WACC'!$B$30+$A25))^'07 DCF Valuation'!C40+'07 DCF Valuation'!D39/(1+('06 Cost of Equity &amp; WACC'!$B$30+$A25))^'07 DCF Valuation'!D40+'07 DCF Valuation'!E39/(1+('06 Cost of Equity &amp; WACC'!$B$30+$A25))^'07 DCF Valuation'!E40+'07 DCF Valuation'!F39/(1+('06 Cost of Equity &amp; WACC'!$B$30+$A25))^'07 DCF Valuation'!F40+'07 DCF Valuation'!G39/(1+('06 Cost of Equity &amp; WACC'!$B$30+$A25))^'07 DCF Valuation'!G40+('07 DCF Valuation'!$B$49*(1+'03 Forecast Assumptions'!$C$17+C$20)*(1-('03 Forecast Assumptions'!$C$17+C$20)/'03 Forecast Assumptions'!$C$18))/('06 Cost of Equity &amp; WACC'!$B$30+$A25-'03 Forecast Assumptions'!$C$17-C$20)/(1+'06 Cost of Equity &amp; WACC'!$B$30+$A25)^'07 DCF Valuation'!$B$53)+'08 Equity Bridge'!$B$39)*1000000/'08 Equity Bridge'!$B$10,0)</x:f>
        <x:v>1934.2113745849406</x:v>
      </x:c>
      <x:c r="D25" s="42" t="n">
        <x:f>IF('06 Cost of Equity &amp; WACC'!$B$30+$A25&gt;'03 Forecast Assumptions'!$C$17+D$20,(('07 DCF Valuation'!B39/(1+('06 Cost of Equity &amp; WACC'!$B$30+$A25))^'07 DCF Valuation'!B40+'07 DCF Valuation'!C39/(1+('06 Cost of Equity &amp; WACC'!$B$30+$A25))^'07 DCF Valuation'!C40+'07 DCF Valuation'!D39/(1+('06 Cost of Equity &amp; WACC'!$B$30+$A25))^'07 DCF Valuation'!D40+'07 DCF Valuation'!E39/(1+('06 Cost of Equity &amp; WACC'!$B$30+$A25))^'07 DCF Valuation'!E40+'07 DCF Valuation'!F39/(1+('06 Cost of Equity &amp; WACC'!$B$30+$A25))^'07 DCF Valuation'!F40+'07 DCF Valuation'!G39/(1+('06 Cost of Equity &amp; WACC'!$B$30+$A25))^'07 DCF Valuation'!G40+('07 DCF Valuation'!$B$49*(1+'03 Forecast Assumptions'!$C$17+D$20)*(1-('03 Forecast Assumptions'!$C$17+D$20)/'03 Forecast Assumptions'!$C$18))/('06 Cost of Equity &amp; WACC'!$B$30+$A25-'03 Forecast Assumptions'!$C$17-D$20)/(1+'06 Cost of Equity &amp; WACC'!$B$30+$A25)^'07 DCF Valuation'!$B$53)+'08 Equity Bridge'!$B$39)*1000000/'08 Equity Bridge'!$B$10,0)</x:f>
        <x:v>1946.7194777755897</x:v>
      </x:c>
      <x:c r="E25" s="42" t="n">
        <x:f>IF('06 Cost of Equity &amp; WACC'!$B$30+$A25&gt;'03 Forecast Assumptions'!$C$17+E$20,(('07 DCF Valuation'!B39/(1+('06 Cost of Equity &amp; WACC'!$B$30+$A25))^'07 DCF Valuation'!B40+'07 DCF Valuation'!C39/(1+('06 Cost of Equity &amp; WACC'!$B$30+$A25))^'07 DCF Valuation'!C40+'07 DCF Valuation'!D39/(1+('06 Cost of Equity &amp; WACC'!$B$30+$A25))^'07 DCF Valuation'!D40+'07 DCF Valuation'!E39/(1+('06 Cost of Equity &amp; WACC'!$B$30+$A25))^'07 DCF Valuation'!E40+'07 DCF Valuation'!F39/(1+('06 Cost of Equity &amp; WACC'!$B$30+$A25))^'07 DCF Valuation'!F40+'07 DCF Valuation'!G39/(1+('06 Cost of Equity &amp; WACC'!$B$30+$A25))^'07 DCF Valuation'!G40+('07 DCF Valuation'!$B$49*(1+'03 Forecast Assumptions'!$C$17+E$20)*(1-('03 Forecast Assumptions'!$C$17+E$20)/'03 Forecast Assumptions'!$C$18))/('06 Cost of Equity &amp; WACC'!$B$30+$A25-'03 Forecast Assumptions'!$C$17-E$20)/(1+'06 Cost of Equity &amp; WACC'!$B$30+$A25)^'07 DCF Valuation'!$B$53)+'08 Equity Bridge'!$B$39)*1000000/'08 Equity Bridge'!$B$10,0)</x:f>
        <x:v>1960.0516957434118</x:v>
      </x:c>
      <x:c r="F25" s="42" t="n">
        <x:f>IF('06 Cost of Equity &amp; WACC'!$B$30+$A25&gt;'03 Forecast Assumptions'!$C$17+F$20,(('07 DCF Valuation'!B39/(1+('06 Cost of Equity &amp; WACC'!$B$30+$A25))^'07 DCF Valuation'!B40+'07 DCF Valuation'!C39/(1+('06 Cost of Equity &amp; WACC'!$B$30+$A25))^'07 DCF Valuation'!C40+'07 DCF Valuation'!D39/(1+('06 Cost of Equity &amp; WACC'!$B$30+$A25))^'07 DCF Valuation'!D40+'07 DCF Valuation'!E39/(1+('06 Cost of Equity &amp; WACC'!$B$30+$A25))^'07 DCF Valuation'!E40+'07 DCF Valuation'!F39/(1+('06 Cost of Equity &amp; WACC'!$B$30+$A25))^'07 DCF Valuation'!F40+'07 DCF Valuation'!G39/(1+('06 Cost of Equity &amp; WACC'!$B$30+$A25))^'07 DCF Valuation'!G40+('07 DCF Valuation'!$B$49*(1+'03 Forecast Assumptions'!$C$17+F$20)*(1-('03 Forecast Assumptions'!$C$17+F$20)/'03 Forecast Assumptions'!$C$18))/('06 Cost of Equity &amp; WACC'!$B$30+$A25-'03 Forecast Assumptions'!$C$17-F$20)/(1+'06 Cost of Equity &amp; WACC'!$B$30+$A25)^'07 DCF Valuation'!$B$53)+'08 Equity Bridge'!$B$39)*1000000/'08 Equity Bridge'!$B$10,0)</x:f>
        <x:v>1974.3458681642417</x:v>
      </x:c>
      <x:c r="G25" s="10"/>
      <x:c r="H25" s="10"/>
      <x:c r="I25" s="10"/>
    </x:row>
    <x:row r="26" ht="19" customHeight="1">
      <x:c r="B26" s="10"/>
      <x:c r="C26" s="10"/>
      <x:c r="D26" s="10"/>
      <x:c r="E26" s="10"/>
      <x:c r="F26" s="10"/>
      <x:c r="G26" s="10"/>
      <x:c r="H26" s="10"/>
      <x:c r="I26" s="10"/>
    </x:row>
    <x:row r="27" ht="19" customHeight="1">
      <x:c r="B27" s="10"/>
      <x:c r="C27" s="10"/>
      <x:c r="D27" s="10"/>
      <x:c r="E27" s="10"/>
      <x:c r="F27" s="10"/>
      <x:c r="G27" s="10"/>
      <x:c r="H27" s="10"/>
      <x:c r="I27" s="10"/>
    </x:row>
    <x:row r="28" ht="19" customHeight="1">
      <x:c r="A28" t="str">
        <x:v>Sensitivity: negative resulting values reflect assumptions, not arithmetic failure.</x:v>
      </x:c>
      <x:c r="B28" s="10"/>
      <x:c r="C28" s="10"/>
      <x:c r="D28" s="10"/>
      <x:c r="E28" s="10"/>
      <x:c r="F28" s="10"/>
      <x:c r="G28" s="10"/>
      <x:c r="H28" s="10"/>
      <x:c r="I28" s="10"/>
    </x:row>
    <x:row r="29" ht="19" customHeight="1">
      <x:c r="A29" t="str">
        <x:v>WACC includes scenario differences; matrix holds other Base scenario inputs fixed.</x:v>
      </x:c>
      <x:c r="B29" s="10"/>
      <x:c r="C29" s="10"/>
      <x:c r="D29" s="10"/>
      <x:c r="E29" s="10"/>
      <x:c r="F29" s="10"/>
      <x:c r="G29" s="10"/>
      <x:c r="H29" s="10"/>
      <x:c r="I29" s="10"/>
    </x:row>
    <x:row r="30" ht="19" customHeight="1">
      <x:c r="B30" s="10"/>
      <x:c r="C30" s="10"/>
      <x:c r="D30" s="10"/>
      <x:c r="E30" s="10"/>
      <x:c r="F30" s="10"/>
      <x:c r="G30" s="10"/>
      <x:c r="H30" s="10"/>
      <x:c r="I30" s="10"/>
    </x:row>
    <x:row r="31" ht="19" customHeight="1">
      <x:c r="B31" s="10"/>
      <x:c r="C31" s="10"/>
      <x:c r="D31" s="10"/>
      <x:c r="E31" s="10"/>
      <x:c r="F31" s="10"/>
      <x:c r="G31" s="10"/>
      <x:c r="H31" s="10"/>
      <x:c r="I31" s="10"/>
    </x:row>
    <x:row r="32" ht="19" customHeight="1">
      <x:c r="B32" s="10"/>
      <x:c r="C32" s="10"/>
      <x:c r="D32" s="10"/>
      <x:c r="E32" s="10"/>
      <x:c r="F32" s="10"/>
      <x:c r="G32" s="10"/>
      <x:c r="H32" s="10"/>
      <x:c r="I32" s="10"/>
    </x:row>
    <x:row r="33" ht="19" customHeight="1">
      <x:c r="B33" s="10"/>
      <x:c r="C33" s="10"/>
      <x:c r="D33" s="10"/>
      <x:c r="E33" s="10"/>
      <x:c r="F33" s="10"/>
      <x:c r="G33" s="10"/>
      <x:c r="H33" s="10"/>
      <x:c r="I33" s="10"/>
    </x:row>
    <x:row r="34" ht="19" customHeight="1">
      <x:c r="B34" s="10"/>
      <x:c r="C34" s="10"/>
      <x:c r="D34" s="10"/>
      <x:c r="E34" s="10"/>
      <x:c r="F34" s="10"/>
      <x:c r="G34" s="10"/>
      <x:c r="H34" s="10"/>
      <x:c r="I34" s="10"/>
    </x:row>
    <x:row r="35" ht="19" customHeight="1">
      <x:c r="B35" s="10"/>
      <x:c r="C35" s="10"/>
      <x:c r="D35" s="10"/>
      <x:c r="E35" s="10"/>
      <x:c r="F35" s="10"/>
      <x:c r="G35" s="10"/>
      <x:c r="H35" s="10"/>
      <x:c r="I35" s="10"/>
    </x:row>
    <x:row r="36" ht="19" customHeight="1">
      <x:c r="B36" s="10"/>
      <x:c r="C36" s="10"/>
      <x:c r="D36" s="10"/>
      <x:c r="E36" s="10"/>
      <x:c r="F36" s="10"/>
      <x:c r="G36" s="10"/>
      <x:c r="H36" s="10"/>
      <x:c r="I36" s="10"/>
    </x:row>
    <x:row r="37" ht="19" customHeight="1">
      <x:c r="B37" s="10"/>
      <x:c r="C37" s="10"/>
      <x:c r="D37" s="10"/>
      <x:c r="E37" s="10"/>
      <x:c r="F37" s="10"/>
      <x:c r="G37" s="10"/>
      <x:c r="H37" s="10"/>
      <x:c r="I37" s="10"/>
    </x:row>
    <x:row r="38" ht="19" customHeight="1">
      <x:c r="B38" s="10"/>
      <x:c r="C38" s="10"/>
      <x:c r="D38" s="10"/>
      <x:c r="E38" s="10"/>
      <x:c r="F38" s="10"/>
      <x:c r="G38" s="10"/>
      <x:c r="H38" s="10"/>
      <x:c r="I38" s="10"/>
    </x:row>
    <x:row r="39" ht="19" customHeight="1">
      <x:c r="B39" s="10"/>
      <x:c r="C39" s="10"/>
      <x:c r="D39" s="10"/>
      <x:c r="E39" s="10"/>
      <x:c r="F39" s="10"/>
      <x:c r="G39" s="10"/>
      <x:c r="H39" s="10"/>
      <x:c r="I39" s="10"/>
    </x:row>
    <x:row r="40" ht="19" customHeight="1">
      <x:c r="B40" s="10"/>
      <x:c r="C40" s="10"/>
      <x:c r="D40" s="10"/>
      <x:c r="E40" s="10"/>
      <x:c r="F40" s="10"/>
      <x:c r="G40" s="10"/>
      <x:c r="H40" s="10"/>
      <x:c r="I40" s="10"/>
    </x:row>
    <x:row r="41" ht="19" customHeight="1">
      <x:c r="B41" s="10"/>
      <x:c r="C41" s="10"/>
      <x:c r="D41" s="10"/>
      <x:c r="E41" s="10"/>
      <x:c r="F41" s="10"/>
      <x:c r="G41" s="10"/>
      <x:c r="H41" s="10"/>
      <x:c r="I41" s="10"/>
    </x:row>
    <x:row r="42" ht="19" customHeight="1">
      <x:c r="B42" s="10"/>
      <x:c r="C42" s="10"/>
      <x:c r="D42" s="10"/>
      <x:c r="E42" s="10"/>
      <x:c r="F42" s="10"/>
      <x:c r="G42" s="10"/>
      <x:c r="H42" s="10"/>
      <x:c r="I42" s="10"/>
    </x:row>
    <x:row r="43" ht="19" customHeight="1">
      <x:c r="B43" s="10"/>
      <x:c r="C43" s="10"/>
      <x:c r="D43" s="10"/>
      <x:c r="E43" s="10"/>
      <x:c r="F43" s="10"/>
      <x:c r="G43" s="10"/>
      <x:c r="H43" s="10"/>
      <x:c r="I43" s="10"/>
    </x:row>
    <x:row r="44" ht="19" customHeight="1">
      <x:c r="B44" s="10"/>
      <x:c r="C44" s="10"/>
      <x:c r="D44" s="10"/>
      <x:c r="E44" s="10"/>
      <x:c r="F44" s="10"/>
      <x:c r="G44" s="10"/>
      <x:c r="H44" s="10"/>
      <x:c r="I44" s="10"/>
    </x:row>
    <x:row r="45" ht="19" customHeight="1">
      <x:c r="B45" s="10"/>
      <x:c r="C45" s="10"/>
      <x:c r="D45" s="10"/>
      <x:c r="E45" s="10"/>
      <x:c r="F45" s="10"/>
      <x:c r="G45" s="10"/>
      <x:c r="H45" s="10"/>
      <x:c r="I45" s="10"/>
    </x:row>
    <x:row r="46" ht="19" customHeight="1">
      <x:c r="B46" s="10"/>
      <x:c r="C46" s="10"/>
      <x:c r="D46" s="10"/>
      <x:c r="E46" s="10"/>
      <x:c r="F46" s="10"/>
      <x:c r="G46" s="10"/>
      <x:c r="H46" s="10"/>
      <x:c r="I46" s="10"/>
    </x:row>
    <x:row r="47" ht="19" customHeight="1">
      <x:c r="B47" s="10"/>
      <x:c r="C47" s="10"/>
      <x:c r="D47" s="10"/>
      <x:c r="E47" s="10"/>
      <x:c r="F47" s="10"/>
      <x:c r="G47" s="10"/>
      <x:c r="H47" s="10"/>
      <x:c r="I47" s="10"/>
    </x:row>
    <x:row r="48" ht="19" customHeight="1">
      <x:c r="B48" s="10"/>
      <x:c r="C48" s="10"/>
      <x:c r="D48" s="10"/>
      <x:c r="E48" s="10"/>
      <x:c r="F48" s="10"/>
      <x:c r="G48" s="10"/>
      <x:c r="H48" s="10"/>
      <x:c r="I48" s="10"/>
    </x:row>
    <x:row r="49" ht="19" customHeight="1">
      <x:c r="B49" s="10"/>
      <x:c r="C49" s="10"/>
      <x:c r="D49" s="10"/>
      <x:c r="E49" s="10"/>
      <x:c r="F49" s="10"/>
      <x:c r="G49" s="10"/>
      <x:c r="H49" s="10"/>
      <x:c r="I49" s="10"/>
    </x:row>
    <x:row r="50" ht="19" customHeight="1">
      <x:c r="B50" s="10"/>
      <x:c r="C50" s="10"/>
      <x:c r="D50" s="10"/>
      <x:c r="E50" s="10"/>
      <x:c r="F50" s="10"/>
      <x:c r="G50" s="10"/>
      <x:c r="H50" s="10"/>
      <x:c r="I50" s="10"/>
    </x:row>
    <x:row r="51" ht="19" customHeight="1">
      <x:c r="B51" s="10"/>
      <x:c r="C51" s="10"/>
      <x:c r="D51" s="10"/>
      <x:c r="E51" s="10"/>
      <x:c r="F51" s="10"/>
      <x:c r="G51" s="10"/>
      <x:c r="H51" s="10"/>
      <x:c r="I51" s="10"/>
    </x:row>
    <x:row r="52" ht="19" customHeight="1">
      <x:c r="B52" s="10"/>
      <x:c r="C52" s="10"/>
      <x:c r="D52" s="10"/>
      <x:c r="E52" s="10"/>
      <x:c r="F52" s="10"/>
      <x:c r="G52" s="10"/>
      <x:c r="H52" s="10"/>
      <x:c r="I52" s="10"/>
    </x:row>
    <x:row r="53" ht="19" customHeight="1">
      <x:c r="B53" s="10"/>
      <x:c r="C53" s="10"/>
      <x:c r="D53" s="10"/>
      <x:c r="E53" s="10"/>
      <x:c r="F53" s="10"/>
      <x:c r="G53" s="10"/>
      <x:c r="H53" s="10"/>
      <x:c r="I53" s="10"/>
    </x:row>
    <x:row r="54" ht="19" customHeight="1">
      <x:c r="B54" s="10"/>
      <x:c r="C54" s="10"/>
      <x:c r="D54" s="10"/>
      <x:c r="E54" s="10"/>
      <x:c r="F54" s="10"/>
      <x:c r="G54" s="10"/>
      <x:c r="H54" s="10"/>
      <x:c r="I54" s="10"/>
    </x:row>
    <x:row r="55" ht="19" customHeight="1">
      <x:c r="B55" s="10"/>
      <x:c r="C55" s="10"/>
      <x:c r="D55" s="10"/>
      <x:c r="E55" s="10"/>
      <x:c r="F55" s="10"/>
      <x:c r="G55" s="10"/>
      <x:c r="H55" s="10"/>
      <x:c r="I55" s="10"/>
    </x:row>
    <x:row r="56" ht="19" customHeight="1">
      <x:c r="B56" s="10"/>
      <x:c r="C56" s="10"/>
      <x:c r="D56" s="10"/>
      <x:c r="E56" s="10"/>
      <x:c r="F56" s="10"/>
      <x:c r="G56" s="10"/>
      <x:c r="H56" s="10"/>
      <x:c r="I56" s="10"/>
    </x:row>
    <x:row r="57" ht="19" customHeight="1">
      <x:c r="B57" s="10"/>
      <x:c r="C57" s="10"/>
      <x:c r="D57" s="10"/>
      <x:c r="E57" s="10"/>
      <x:c r="F57" s="10"/>
      <x:c r="G57" s="10"/>
      <x:c r="H57" s="10"/>
      <x:c r="I57" s="10"/>
    </x:row>
    <x:row r="58" ht="19" customHeight="1">
      <x:c r="B58" s="10"/>
      <x:c r="C58" s="10"/>
      <x:c r="D58" s="10"/>
      <x:c r="E58" s="10"/>
      <x:c r="F58" s="10"/>
      <x:c r="G58" s="10"/>
      <x:c r="H58" s="10"/>
      <x:c r="I58" s="10"/>
    </x:row>
    <x:row r="59" ht="19" customHeight="1">
      <x:c r="B59" s="10"/>
      <x:c r="C59" s="10"/>
      <x:c r="D59" s="10"/>
      <x:c r="E59" s="10"/>
      <x:c r="F59" s="10"/>
      <x:c r="G59" s="10"/>
      <x:c r="H59" s="10"/>
      <x:c r="I59" s="10"/>
    </x:row>
    <x:row r="60" ht="19" customHeight="1">
      <x:c r="B60" s="10"/>
      <x:c r="C60" s="10"/>
      <x:c r="D60" s="10"/>
      <x:c r="E60" s="10"/>
      <x:c r="F60" s="10"/>
      <x:c r="G60" s="10"/>
      <x:c r="H60" s="10"/>
      <x:c r="I60" s="10"/>
    </x:row>
    <x:row r="61" ht="19" customHeight="1">
      <x:c r="B61" s="10"/>
      <x:c r="C61" s="10"/>
      <x:c r="D61" s="10"/>
      <x:c r="E61" s="10"/>
      <x:c r="F61" s="10"/>
      <x:c r="G61" s="10"/>
      <x:c r="H61" s="10"/>
      <x:c r="I61" s="10"/>
    </x:row>
    <x:row r="62" ht="19" customHeight="1">
      <x:c r="B62" s="10"/>
      <x:c r="C62" s="10"/>
      <x:c r="D62" s="10"/>
      <x:c r="E62" s="10"/>
      <x:c r="F62" s="10"/>
      <x:c r="G62" s="10"/>
      <x:c r="H62" s="10"/>
      <x:c r="I62" s="10"/>
    </x:row>
    <x:row r="63" ht="19" customHeight="1">
      <x:c r="B63" s="10"/>
      <x:c r="C63" s="10"/>
      <x:c r="D63" s="10"/>
      <x:c r="E63" s="10"/>
      <x:c r="F63" s="10"/>
      <x:c r="G63" s="10"/>
      <x:c r="H63" s="10"/>
      <x:c r="I63" s="10"/>
    </x:row>
    <x:row r="64" ht="19" customHeight="1">
      <x:c r="B64" s="10"/>
      <x:c r="C64" s="10"/>
      <x:c r="D64" s="10"/>
      <x:c r="E64" s="10"/>
      <x:c r="F64" s="10"/>
      <x:c r="G64" s="10"/>
      <x:c r="H64" s="10"/>
      <x:c r="I64" s="10"/>
    </x:row>
    <x:row r="65" ht="19" customHeight="1">
      <x:c r="B65" s="10"/>
      <x:c r="C65" s="10"/>
      <x:c r="D65" s="10"/>
      <x:c r="E65" s="10"/>
      <x:c r="F65" s="10"/>
      <x:c r="G65" s="10"/>
      <x:c r="H65" s="10"/>
      <x:c r="I65" s="10"/>
    </x:row>
    <x:row r="66" ht="19" customHeight="1">
      <x:c r="B66" s="10"/>
      <x:c r="C66" s="10"/>
      <x:c r="D66" s="10"/>
      <x:c r="E66" s="10"/>
      <x:c r="F66" s="10"/>
      <x:c r="G66" s="10"/>
      <x:c r="H66" s="10"/>
      <x:c r="I66" s="10"/>
    </x:row>
    <x:row r="67" ht="19" customHeight="1">
      <x:c r="B67" s="10"/>
      <x:c r="C67" s="10"/>
      <x:c r="D67" s="10"/>
      <x:c r="E67" s="10"/>
      <x:c r="F67" s="10"/>
      <x:c r="G67" s="10"/>
      <x:c r="H67" s="10"/>
      <x:c r="I67" s="10"/>
    </x:row>
    <x:row r="68" ht="19" customHeight="1">
      <x:c r="B68" s="10"/>
      <x:c r="C68" s="10"/>
      <x:c r="D68" s="10"/>
      <x:c r="E68" s="10"/>
      <x:c r="F68" s="10"/>
      <x:c r="G68" s="10"/>
      <x:c r="H68" s="10"/>
      <x:c r="I68" s="10"/>
    </x:row>
    <x:row r="69" ht="19" customHeight="1">
      <x:c r="B69" s="10"/>
      <x:c r="C69" s="10"/>
      <x:c r="D69" s="10"/>
      <x:c r="E69" s="10"/>
      <x:c r="F69" s="10"/>
      <x:c r="G69" s="10"/>
      <x:c r="H69" s="10"/>
      <x:c r="I69" s="10"/>
    </x:row>
    <x:row r="70" ht="19" customHeight="1">
      <x:c r="B70" s="10"/>
      <x:c r="C70" s="10"/>
      <x:c r="D70" s="10"/>
      <x:c r="E70" s="10"/>
      <x:c r="F70" s="10"/>
      <x:c r="G70" s="10"/>
      <x:c r="H70" s="10"/>
      <x:c r="I70" s="10"/>
    </x:row>
    <x:row r="71" ht="19" customHeight="1">
      <x:c r="B71" s="10"/>
      <x:c r="C71" s="10"/>
      <x:c r="D71" s="10"/>
      <x:c r="E71" s="10"/>
      <x:c r="F71" s="10"/>
      <x:c r="G71" s="10"/>
      <x:c r="H71" s="10"/>
      <x:c r="I71" s="10"/>
    </x:row>
    <x:row r="72" ht="19" customHeight="1">
      <x:c r="B72" s="10"/>
      <x:c r="C72" s="10"/>
      <x:c r="D72" s="10"/>
      <x:c r="E72" s="10"/>
      <x:c r="F72" s="10"/>
      <x:c r="G72" s="10"/>
      <x:c r="H72" s="10"/>
      <x:c r="I72" s="10"/>
    </x:row>
    <x:row r="73" ht="19" customHeight="1">
      <x:c r="B73" s="10"/>
      <x:c r="C73" s="10"/>
      <x:c r="D73" s="10"/>
      <x:c r="E73" s="10"/>
      <x:c r="F73" s="10"/>
      <x:c r="G73" s="10"/>
      <x:c r="H73" s="10"/>
      <x:c r="I73" s="10"/>
    </x:row>
    <x:row r="74" ht="19" customHeight="1">
      <x:c r="B74" s="10"/>
      <x:c r="C74" s="10"/>
      <x:c r="D74" s="10"/>
      <x:c r="E74" s="10"/>
      <x:c r="F74" s="10"/>
      <x:c r="G74" s="10"/>
      <x:c r="H74" s="10"/>
      <x:c r="I74" s="10"/>
    </x:row>
    <x:row r="75" ht="19" customHeight="1">
      <x:c r="B75" s="10"/>
      <x:c r="C75" s="10"/>
      <x:c r="D75" s="10"/>
      <x:c r="E75" s="10"/>
      <x:c r="F75" s="10"/>
      <x:c r="G75" s="10"/>
      <x:c r="H75" s="10"/>
      <x:c r="I75" s="10"/>
    </x:row>
    <x:row r="76" ht="19" customHeight="1">
      <x:c r="B76" s="10"/>
      <x:c r="C76" s="10"/>
      <x:c r="D76" s="10"/>
      <x:c r="E76" s="10"/>
      <x:c r="F76" s="10"/>
      <x:c r="G76" s="10"/>
      <x:c r="H76" s="10"/>
      <x:c r="I76" s="10"/>
    </x:row>
    <x:row r="77" ht="19" customHeight="1">
      <x:c r="B77" s="10"/>
      <x:c r="C77" s="10"/>
      <x:c r="D77" s="10"/>
      <x:c r="E77" s="10"/>
      <x:c r="F77" s="10"/>
      <x:c r="G77" s="10"/>
      <x:c r="H77" s="10"/>
      <x:c r="I77" s="10"/>
    </x:row>
    <x:row r="78" ht="19" customHeight="1">
      <x:c r="B78" s="10"/>
      <x:c r="C78" s="10"/>
      <x:c r="D78" s="10"/>
      <x:c r="E78" s="10"/>
      <x:c r="F78" s="10"/>
      <x:c r="G78" s="10"/>
      <x:c r="H78" s="10"/>
      <x:c r="I78" s="10"/>
    </x:row>
    <x:row r="79" ht="19" customHeight="1">
      <x:c r="B79" s="10"/>
      <x:c r="C79" s="10"/>
      <x:c r="D79" s="10"/>
      <x:c r="E79" s="10"/>
      <x:c r="F79" s="10"/>
      <x:c r="G79" s="10"/>
      <x:c r="H79" s="10"/>
      <x:c r="I79" s="10"/>
    </x:row>
    <x:row r="80" ht="19" customHeight="1">
      <x:c r="B80" s="10"/>
      <x:c r="C80" s="10"/>
      <x:c r="D80" s="10"/>
      <x:c r="E80" s="10"/>
      <x:c r="F80" s="10"/>
      <x:c r="G80" s="10"/>
      <x:c r="H80" s="10"/>
      <x:c r="I80" s="10"/>
    </x:row>
    <x:row r="81" ht="19" customHeight="1">
      <x:c r="B81" s="10"/>
      <x:c r="C81" s="10"/>
      <x:c r="D81" s="10"/>
      <x:c r="E81" s="10"/>
      <x:c r="F81" s="10"/>
      <x:c r="G81" s="10"/>
      <x:c r="H81" s="10"/>
      <x:c r="I81" s="10"/>
    </x:row>
    <x:row r="82" ht="19" customHeight="1">
      <x:c r="B82" s="10"/>
      <x:c r="C82" s="10"/>
      <x:c r="D82" s="10"/>
      <x:c r="E82" s="10"/>
      <x:c r="F82" s="10"/>
      <x:c r="G82" s="10"/>
      <x:c r="H82" s="10"/>
      <x:c r="I82" s="10"/>
    </x:row>
    <x:row r="83" ht="19" customHeight="1">
      <x:c r="B83" s="10"/>
      <x:c r="C83" s="10"/>
      <x:c r="D83" s="10"/>
      <x:c r="E83" s="10"/>
      <x:c r="F83" s="10"/>
      <x:c r="G83" s="10"/>
      <x:c r="H83" s="10"/>
      <x:c r="I83" s="10"/>
    </x:row>
    <x:row r="84" ht="19" customHeight="1">
      <x:c r="B84" s="10"/>
      <x:c r="C84" s="10"/>
      <x:c r="D84" s="10"/>
      <x:c r="E84" s="10"/>
      <x:c r="F84" s="10"/>
      <x:c r="G84" s="10"/>
      <x:c r="H84" s="10"/>
      <x:c r="I84" s="10"/>
    </x:row>
    <x:row r="85" ht="19" customHeight="1">
      <x:c r="B85" s="10"/>
      <x:c r="C85" s="10"/>
      <x:c r="D85" s="10"/>
      <x:c r="E85" s="10"/>
      <x:c r="F85" s="10"/>
      <x:c r="G85" s="10"/>
      <x:c r="H85" s="10"/>
      <x:c r="I85" s="10"/>
    </x:row>
    <x:row r="86" ht="19" customHeight="1">
      <x:c r="B86" s="10"/>
      <x:c r="C86" s="10"/>
      <x:c r="D86" s="10"/>
      <x:c r="E86" s="10"/>
      <x:c r="F86" s="10"/>
      <x:c r="G86" s="10"/>
      <x:c r="H86" s="10"/>
      <x:c r="I86" s="10"/>
    </x:row>
    <x:row r="87" ht="19" customHeight="1">
      <x:c r="B87" s="10"/>
      <x:c r="C87" s="10"/>
      <x:c r="D87" s="10"/>
      <x:c r="E87" s="10"/>
      <x:c r="F87" s="10"/>
      <x:c r="G87" s="10"/>
      <x:c r="H87" s="10"/>
      <x:c r="I87" s="10"/>
    </x:row>
    <x:row r="88" ht="19" customHeight="1">
      <x:c r="B88" s="10"/>
      <x:c r="C88" s="10"/>
      <x:c r="D88" s="10"/>
      <x:c r="E88" s="10"/>
      <x:c r="F88" s="10"/>
      <x:c r="G88" s="10"/>
      <x:c r="H88" s="10"/>
      <x:c r="I88" s="10"/>
    </x:row>
    <x:row r="89" ht="19" customHeight="1">
      <x:c r="B89" s="10"/>
      <x:c r="C89" s="10"/>
      <x:c r="D89" s="10"/>
      <x:c r="E89" s="10"/>
      <x:c r="F89" s="10"/>
      <x:c r="G89" s="10"/>
      <x:c r="H89" s="10"/>
      <x:c r="I89" s="10"/>
    </x:row>
    <x:row r="90" ht="19" customHeight="1">
      <x:c r="B90" s="10"/>
      <x:c r="C90" s="10"/>
      <x:c r="D90" s="10"/>
      <x:c r="E90" s="10"/>
      <x:c r="F90" s="10"/>
      <x:c r="G90" s="10"/>
      <x:c r="H90" s="10"/>
      <x:c r="I90" s="10"/>
    </x:row>
  </x:sheetData>
  <x:mergeCells>
    <x:mergeCell ref="A1:I2"/>
    <x:mergeCell ref="A3:I3"/>
    <x:mergeCell ref="A5:I5"/>
    <x:mergeCell ref="A18:I1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64" hidden="0" customWidth="1"/>
    <x:col min="2" max="2" width="5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7" customHeight="1">
      <x:c r="A1" s="3" t="str">
        <x:v>12 Valuation Summary</x:v>
      </x:c>
      <x:c r="B1" s="3"/>
      <x:c r="C1" s="3"/>
      <x:c r="D1" s="3"/>
      <x:c r="E1" s="3"/>
      <x:c r="F1" s="3"/>
    </x:row>
    <x:row r="2" ht="27" customHeight="1">
      <x:c r="A2" s="3"/>
      <x:c r="B2" s="3"/>
      <x:c r="C2" s="3"/>
      <x:c r="D2" s="3"/>
      <x:c r="E2" s="3"/>
      <x:c r="F2" s="3"/>
    </x:row>
    <x:row r="3" ht="19" customHeight="1">
      <x:c r="A3" s="7" t="str">
        <x:v>Decision-useful but assumption-dependent DCF; market comparison is not investment advice</x:v>
      </x:c>
      <x:c r="B3" s="7"/>
      <x:c r="C3" s="7"/>
      <x:c r="D3" s="7"/>
      <x:c r="E3" s="7"/>
      <x:c r="F3" s="7"/>
    </x:row>
    <x:row r="4" ht="19" customHeight="1"/>
    <x:row r="5" ht="19" customHeight="1">
      <x:c r="A5" s="14" t="str">
        <x:v>VALUATION DASHBOARD • SMSM</x:v>
      </x:c>
      <x:c r="B5" s="15"/>
      <x:c r="C5" s="15"/>
      <x:c r="D5" s="15"/>
      <x:c r="E5" s="15"/>
      <x:c r="F5" s="15"/>
    </x:row>
    <x:row r="6" ht="19" customHeight="1">
      <x:c r="B6" s="10"/>
      <x:c r="C6" s="10"/>
      <x:c r="D6" s="10"/>
      <x:c r="E6" s="10"/>
      <x:c r="F6" s="10"/>
    </x:row>
    <x:row r="7" ht="19" customHeight="1">
      <x:c r="A7" t="str">
        <x:v>Valuation date</x:v>
      </x:c>
      <x:c r="B7" s="54" t="n">
        <x:f>DATE(2026,10,23)</x:f>
        <x:v>46318</x:v>
      </x:c>
      <x:c r="C7" s="10"/>
      <x:c r="D7" s="10"/>
      <x:c r="E7" s="10"/>
      <x:c r="F7" s="10"/>
    </x:row>
    <x:row r="8" ht="19" customHeight="1">
      <x:c r="A8" t="str">
        <x:v>Market price per share (Rp)</x:v>
      </x:c>
      <x:c r="B8" s="42" t="n">
        <x:f>'08 Equity Bridge'!B6</x:f>
        <x:v>1670</x:v>
      </x:c>
      <x:c r="C8" s="10"/>
      <x:c r="D8" s="10"/>
      <x:c r="E8" s="10"/>
      <x:c r="F8" s="10"/>
    </x:row>
    <x:row r="9" ht="19" customHeight="1">
      <x:c r="A9" t="str">
        <x:v>Issued shares (approx. outstanding)</x:v>
      </x:c>
      <x:c r="B9" s="34" t="n">
        <x:f>'08 Equity Bridge'!B10</x:f>
        <x:v>5758675440</x:v>
      </x:c>
      <x:c r="C9" s="10"/>
      <x:c r="D9" s="10"/>
      <x:c r="E9" s="10"/>
      <x:c r="F9" s="10"/>
    </x:row>
    <x:row r="10" ht="19" customHeight="1">
      <x:c r="A10" t="str">
        <x:v>Market capitalization (Rp m)</x:v>
      </x:c>
      <x:c r="B10" s="34" t="n">
        <x:f>'08 Equity Bridge'!B7</x:f>
        <x:v>9616987.9848</x:v>
      </x:c>
      <x:c r="C10" s="10"/>
      <x:c r="D10" s="10"/>
      <x:c r="E10" s="10"/>
      <x:c r="F10" s="10"/>
    </x:row>
    <x:row r="11" ht="19" customHeight="1">
      <x:c r="B11" s="10"/>
      <x:c r="C11" s="10"/>
      <x:c r="D11" s="10"/>
      <x:c r="E11" s="10"/>
      <x:c r="F11" s="10"/>
    </x:row>
    <x:row r="12" ht="19" customHeight="1">
      <x:c r="A12" t="str">
        <x:v>Cost of equity</x:v>
      </x:c>
      <x:c r="B12" s="38" t="n">
        <x:f>'06 Cost of Equity &amp; WACC'!B24</x:f>
        <x:v>0.12046790021739201</x:v>
      </x:c>
      <x:c r="C12" s="10"/>
      <x:c r="D12" s="10"/>
      <x:c r="E12" s="10"/>
      <x:c r="F12" s="10"/>
    </x:row>
    <x:row r="13" ht="19" customHeight="1">
      <x:c r="A13" t="str">
        <x:v>Nominal-IDR WACC (Base)</x:v>
      </x:c>
      <x:c r="B13" s="38" t="n">
        <x:f>'06 Cost of Equity &amp; WACC'!B30</x:f>
        <x:v>0.11968188282959415</x:v>
      </x:c>
      <x:c r="C13" s="10"/>
      <x:c r="D13" s="10"/>
      <x:c r="E13" s="10"/>
      <x:c r="F13" s="10"/>
    </x:row>
    <x:row r="14" ht="19" customHeight="1">
      <x:c r="A14" t="str">
        <x:v>Base terminal growth</x:v>
      </x:c>
      <x:c r="B14" s="38" t="n">
        <x:f>'03 Forecast Assumptions'!C17</x:f>
        <x:v>0.03</x:v>
      </x:c>
      <x:c r="C14" s="10"/>
      <x:c r="D14" s="10"/>
      <x:c r="E14" s="10"/>
      <x:c r="F14" s="10"/>
    </x:row>
    <x:row r="15" ht="19" customHeight="1">
      <x:c r="A15" t="str">
        <x:v>Base forecast-period EV (Rp m)</x:v>
      </x:c>
      <x:c r="B15" s="34" t="n">
        <x:f>'07 DCF Valuation'!B45</x:f>
        <x:v>4700115.7073066</x:v>
      </x:c>
      <x:c r="C15" s="10"/>
      <x:c r="D15" s="10"/>
      <x:c r="E15" s="10"/>
      <x:c r="F15" s="10"/>
    </x:row>
    <x:row r="16" ht="19" customHeight="1">
      <x:c r="A16" t="str">
        <x:v>Base terminal-value PV (Rp m)</x:v>
      </x:c>
      <x:c r="B16" s="34" t="n">
        <x:f>'07 DCF Valuation'!B54</x:f>
        <x:v>7277373.126216496</x:v>
      </x:c>
      <x:c r="C16" s="10"/>
      <x:c r="D16" s="10"/>
      <x:c r="E16" s="10"/>
      <x:c r="F16" s="10"/>
    </x:row>
    <x:row r="17" ht="19" customHeight="1">
      <x:c r="A17" t="str">
        <x:v>Base consolidated operating EV (Rp m)</x:v>
      </x:c>
      <x:c r="B17" s="34" t="n">
        <x:f>'07 DCF Valuation'!B55</x:f>
        <x:v>11977488.833523097</x:v>
      </x:c>
      <x:c r="C17" s="10"/>
      <x:c r="D17" s="10"/>
      <x:c r="E17" s="10"/>
      <x:c r="F17" s="10"/>
    </x:row>
    <x:row r="18" ht="19" customHeight="1">
      <x:c r="A18" t="str">
        <x:v>Base parent equity value (Rp m)</x:v>
      </x:c>
      <x:c r="B18" s="34" t="n">
        <x:f>'07 DCF Valuation'!B58</x:f>
        <x:v>12148441.129211502</x:v>
      </x:c>
      <x:c r="C18" s="10"/>
      <x:c r="D18" s="10"/>
      <x:c r="E18" s="10"/>
      <x:c r="F18" s="10"/>
    </x:row>
    <x:row r="19" ht="19" customHeight="1">
      <x:c r="A19" t="str">
        <x:v>BASE FAIR VALUE PER SHARE (Rp)</x:v>
      </x:c>
      <x:c r="B19" s="42" t="n">
        <x:f>'07 DCF Valuation'!B59</x:f>
        <x:v>2109.5894803912583</x:v>
      </x:c>
      <x:c r="C19" s="10"/>
      <x:c r="D19" s="10"/>
      <x:c r="E19" s="10"/>
      <x:c r="F19" s="10"/>
    </x:row>
    <x:row r="20" ht="19" customHeight="1">
      <x:c r="A20" t="str">
        <x:v>Base upside/downside</x:v>
      </x:c>
      <x:c r="B20" s="38" t="n">
        <x:f>'07 DCF Valuation'!B60</x:f>
        <x:v>0.26322723376722057</x:v>
      </x:c>
      <x:c r="C20" s="10"/>
      <x:c r="D20" s="10"/>
      <x:c r="E20" s="10"/>
      <x:c r="F20" s="10"/>
    </x:row>
    <x:row r="21" ht="19" customHeight="1">
      <x:c r="A21" t="str">
        <x:v>Bear fair value (Rp/share)</x:v>
      </x:c>
      <x:c r="B21" s="42" t="n">
        <x:f>'07 DCF Valuation'!B30</x:f>
        <x:v>1409.2878587341581</x:v>
      </x:c>
      <x:c r="C21" s="10"/>
      <x:c r="D21" s="10"/>
      <x:c r="E21" s="10"/>
      <x:c r="F21" s="10"/>
    </x:row>
    <x:row r="22" ht="19" customHeight="1">
      <x:c r="A22" t="str">
        <x:v>Bull fair value (Rp/share)</x:v>
      </x:c>
      <x:c r="B22" s="42" t="n">
        <x:f>'07 DCF Valuation'!B88</x:f>
        <x:v>2988.0149319576703</x:v>
      </x:c>
      <x:c r="C22" s="10"/>
      <x:c r="D22" s="10"/>
      <x:c r="E22" s="10"/>
      <x:c r="F22" s="10"/>
    </x:row>
    <x:row r="23" ht="19" customHeight="1">
      <x:c r="A23" t="str">
        <x:v>DCF terminal dependence</x:v>
      </x:c>
      <x:c r="B23" s="38" t="n">
        <x:f>'07 DCF Valuation'!B56</x:f>
        <x:v>0.6075875525634622</x:v>
      </x:c>
      <x:c r="C23" s="10"/>
      <x:c r="D23" s="10"/>
      <x:c r="E23" s="10"/>
      <x:c r="F23" s="10"/>
    </x:row>
    <x:row r="24" ht="19" customHeight="1">
      <x:c r="B24" s="10"/>
      <x:c r="C24" s="10"/>
      <x:c r="D24" s="10"/>
      <x:c r="E24" s="10"/>
      <x:c r="F24" s="10"/>
    </x:row>
    <x:row r="25" ht="19" customHeight="1">
      <x:c r="A25" t="str">
        <x:v>DCI-only EV/EBITDA cross-check (Rp/share)</x:v>
      </x:c>
      <x:c r="B25" s="42" t="n">
        <x:f>'10 Relative Valuation'!B16</x:f>
        <x:v>29.68604455478849</x:v>
      </x:c>
      <x:c r="C25" s="10"/>
      <x:c r="D25" s="10"/>
      <x:c r="E25" s="10"/>
      <x:c r="F25" s="10"/>
    </x:row>
    <x:row r="26" ht="19" customHeight="1">
      <x:c r="A26" t="str">
        <x:v>DCI-only EV/EBIT cross-check (Rp/share)</x:v>
      </x:c>
      <x:c r="B26" s="42" t="n">
        <x:f>'10 Relative Valuation'!B19</x:f>
        <x:v>29.68604455478849</x:v>
      </x:c>
      <x:c r="C26" s="10"/>
      <x:c r="D26" s="10"/>
      <x:c r="E26" s="10"/>
      <x:c r="F26" s="10"/>
    </x:row>
    <x:row r="27" ht="19" customHeight="1">
      <x:c r="A27" t="str">
        <x:v>Relative result publishable?</x:v>
      </x:c>
      <x:c r="B27" s="34" t="n">
        <x:f>'10 Relative Valuation'!B21</x:f>
        <x:v>0</x:v>
      </x:c>
      <x:c r="C27" s="10"/>
      <x:c r="D27" s="10"/>
      <x:c r="E27" s="10"/>
      <x:c r="F27" s="10"/>
    </x:row>
    <x:row r="28" ht="19" customHeight="1">
      <x:c r="B28" s="10"/>
      <x:c r="C28" s="10"/>
      <x:c r="D28" s="10"/>
      <x:c r="E28" s="10"/>
      <x:c r="F28" s="10"/>
    </x:row>
    <x:row r="29" ht="19" customHeight="1">
      <x:c r="A29" t="str">
        <x:v>Recommendation status</x:v>
      </x:c>
      <x:c r="B29" s="34" t="str">
        <x:f>IF(AND('13 Validation Controls'!B23=0,'10 Relative Valuation'!B21=1),"Eligible for formal method-weighted decision","Provisional DCF; peer validation incomplete")</x:f>
        <x:v>Provisional DCF; peer validation incomplete</x:v>
      </x:c>
      <x:c r="C29" s="10"/>
      <x:c r="D29" s="10"/>
      <x:c r="E29" s="10"/>
      <x:c r="F29" s="10"/>
    </x:row>
    <x:row r="30" ht="19" customHeight="1">
      <x:c r="A30" t="str">
        <x:v>WITHHELD — credible method weights and peer universe are insufficient to issue Buy/Hold/Sell.</x:v>
      </x:c>
      <x:c r="B30" s="10"/>
      <x:c r="C30" s="10"/>
      <x:c r="D30" s="10"/>
      <x:c r="E30" s="10"/>
      <x:c r="F30" s="10"/>
    </x:row>
    <x:row r="31" ht="19" customHeight="1">
      <x:c r="B31" s="10"/>
      <x:c r="C31" s="10"/>
      <x:c r="D31" s="10"/>
      <x:c r="E31" s="10"/>
      <x:c r="F31" s="10"/>
    </x:row>
    <x:row r="32" ht="19" customHeight="1">
      <x:c r="A32" t="str">
        <x:v>Model readiness</x:v>
      </x:c>
      <x:c r="B32" s="34" t="str">
        <x:f>IF('13 Validation Controls'!B23=0,"DCF MODEL COMPUTES; EXTERNAL PUBLICATION PENDING","BLOCKED — MATERIAL MODEL ERROR")</x:f>
        <x:v>BLOCKED — MATERIAL MODEL ERROR</x:v>
      </x:c>
      <x:c r="C32" s="10"/>
      <x:c r="D32" s="10"/>
      <x:c r="E32" s="10"/>
      <x:c r="F32" s="10"/>
    </x:row>
    <x:row r="33" ht="19" customHeight="1">
      <x:c r="B33" s="10"/>
      <x:c r="C33" s="10"/>
      <x:c r="D33" s="10"/>
      <x:c r="E33" s="10"/>
      <x:c r="F33" s="10"/>
    </x:row>
    <x:row r="34" ht="19" customHeight="1">
      <x:c r="B34" s="10"/>
      <x:c r="C34" s="10"/>
      <x:c r="D34" s="10"/>
      <x:c r="E34" s="10"/>
      <x:c r="F34" s="10"/>
    </x:row>
    <x:row r="35" ht="19" customHeight="1">
      <x:c r="B35" s="10"/>
      <x:c r="C35" s="10"/>
      <x:c r="D35" s="10"/>
      <x:c r="E35" s="10"/>
      <x:c r="F35" s="10"/>
    </x:row>
    <x:row r="36" ht="19" customHeight="1">
      <x:c r="B36" s="10"/>
      <x:c r="C36" s="10"/>
      <x:c r="D36" s="10"/>
      <x:c r="E36" s="10"/>
      <x:c r="F36" s="10"/>
    </x:row>
    <x:row r="37" ht="19" customHeight="1">
      <x:c r="B37" s="10"/>
      <x:c r="C37" s="10"/>
      <x:c r="D37" s="10"/>
      <x:c r="E37" s="10"/>
      <x:c r="F37" s="10"/>
    </x:row>
    <x:row r="38" ht="19" customHeight="1">
      <x:c r="B38" s="10"/>
      <x:c r="C38" s="10"/>
      <x:c r="D38" s="10"/>
      <x:c r="E38" s="10"/>
      <x:c r="F38" s="10"/>
    </x:row>
    <x:row r="39" ht="19" customHeight="1">
      <x:c r="B39" s="10"/>
      <x:c r="C39" s="10"/>
      <x:c r="D39" s="10"/>
      <x:c r="E39" s="10"/>
      <x:c r="F39" s="10"/>
    </x:row>
    <x:row r="40" ht="19" customHeight="1">
      <x:c r="B40" s="10"/>
      <x:c r="C40" s="10"/>
      <x:c r="D40" s="10"/>
      <x:c r="E40" s="10"/>
      <x:c r="F40" s="10"/>
    </x:row>
    <x:row r="41" ht="19" customHeight="1">
      <x:c r="B41" s="10"/>
      <x:c r="C41" s="10"/>
      <x:c r="D41" s="10"/>
      <x:c r="E41" s="10"/>
      <x:c r="F41" s="10"/>
    </x:row>
    <x:row r="42" ht="19" customHeight="1">
      <x:c r="B42" s="10"/>
      <x:c r="C42" s="10"/>
      <x:c r="D42" s="10"/>
      <x:c r="E42" s="10"/>
      <x:c r="F42" s="10"/>
    </x:row>
    <x:row r="43" ht="19" customHeight="1">
      <x:c r="B43" s="10"/>
      <x:c r="C43" s="10"/>
      <x:c r="D43" s="10"/>
      <x:c r="E43" s="10"/>
      <x:c r="F43" s="10"/>
    </x:row>
    <x:row r="44" ht="19" customHeight="1">
      <x:c r="B44" s="10"/>
      <x:c r="C44" s="10"/>
      <x:c r="D44" s="10"/>
      <x:c r="E44" s="10"/>
      <x:c r="F44" s="10"/>
    </x:row>
    <x:row r="45" ht="19" customHeight="1">
      <x:c r="B45" s="10"/>
      <x:c r="C45" s="10"/>
      <x:c r="D45" s="10"/>
      <x:c r="E45" s="10"/>
      <x:c r="F45" s="10"/>
    </x:row>
    <x:row r="46" ht="19" customHeight="1">
      <x:c r="B46" s="10"/>
      <x:c r="C46" s="10"/>
      <x:c r="D46" s="10"/>
      <x:c r="E46" s="10"/>
      <x:c r="F46" s="10"/>
    </x:row>
    <x:row r="47" ht="19" customHeight="1">
      <x:c r="B47" s="10"/>
      <x:c r="C47" s="10"/>
      <x:c r="D47" s="10"/>
      <x:c r="E47" s="10"/>
      <x:c r="F47" s="10"/>
    </x:row>
    <x:row r="48" ht="19" customHeight="1">
      <x:c r="B48" s="10"/>
      <x:c r="C48" s="10"/>
      <x:c r="D48" s="10"/>
      <x:c r="E48" s="10"/>
      <x:c r="F48" s="10"/>
    </x:row>
    <x:row r="49" ht="19" customHeight="1">
      <x:c r="B49" s="10"/>
      <x:c r="C49" s="10"/>
      <x:c r="D49" s="10"/>
      <x:c r="E49" s="10"/>
      <x:c r="F49" s="10"/>
    </x:row>
    <x:row r="50" ht="19" customHeight="1">
      <x:c r="B50" s="10"/>
      <x:c r="C50" s="10"/>
      <x:c r="D50" s="10"/>
      <x:c r="E50" s="10"/>
      <x:c r="F50" s="10"/>
    </x:row>
    <x:row r="51" ht="19" customHeight="1">
      <x:c r="B51" s="10"/>
      <x:c r="C51" s="10"/>
      <x:c r="D51" s="10"/>
      <x:c r="E51" s="10"/>
      <x:c r="F51" s="10"/>
    </x:row>
    <x:row r="52" ht="19" customHeight="1">
      <x:c r="B52" s="10"/>
      <x:c r="C52" s="10"/>
      <x:c r="D52" s="10"/>
      <x:c r="E52" s="10"/>
      <x:c r="F52" s="10"/>
    </x:row>
    <x:row r="53" ht="19" customHeight="1">
      <x:c r="B53" s="10"/>
      <x:c r="C53" s="10"/>
      <x:c r="D53" s="10"/>
      <x:c r="E53" s="10"/>
      <x:c r="F53" s="10"/>
    </x:row>
    <x:row r="54" ht="19" customHeight="1">
      <x:c r="B54" s="10"/>
      <x:c r="C54" s="10"/>
      <x:c r="D54" s="10"/>
      <x:c r="E54" s="10"/>
      <x:c r="F54" s="10"/>
    </x:row>
    <x:row r="55" ht="19" customHeight="1">
      <x:c r="B55" s="10"/>
      <x:c r="C55" s="10"/>
      <x:c r="D55" s="10"/>
      <x:c r="E55" s="10"/>
      <x:c r="F55" s="10"/>
    </x:row>
    <x:row r="56" ht="19" customHeight="1">
      <x:c r="B56" s="10"/>
      <x:c r="C56" s="10"/>
      <x:c r="D56" s="10"/>
      <x:c r="E56" s="10"/>
      <x:c r="F56" s="10"/>
    </x:row>
    <x:row r="57" ht="19" customHeight="1">
      <x:c r="B57" s="10"/>
      <x:c r="C57" s="10"/>
      <x:c r="D57" s="10"/>
      <x:c r="E57" s="10"/>
      <x:c r="F57" s="10"/>
    </x:row>
    <x:row r="58" ht="19" customHeight="1">
      <x:c r="B58" s="10"/>
      <x:c r="C58" s="10"/>
      <x:c r="D58" s="10"/>
      <x:c r="E58" s="10"/>
      <x:c r="F58" s="10"/>
    </x:row>
    <x:row r="59" ht="19" customHeight="1">
      <x:c r="B59" s="10"/>
      <x:c r="C59" s="10"/>
      <x:c r="D59" s="10"/>
      <x:c r="E59" s="10"/>
      <x:c r="F59" s="10"/>
    </x:row>
    <x:row r="60" ht="19" customHeight="1">
      <x:c r="B60" s="10"/>
      <x:c r="C60" s="10"/>
      <x:c r="D60" s="10"/>
      <x:c r="E60" s="10"/>
      <x:c r="F60" s="10"/>
    </x:row>
    <x:row r="61" ht="19" customHeight="1">
      <x:c r="B61" s="10"/>
      <x:c r="C61" s="10"/>
      <x:c r="D61" s="10"/>
      <x:c r="E61" s="10"/>
      <x:c r="F61" s="10"/>
    </x:row>
    <x:row r="62" ht="19" customHeight="1">
      <x:c r="B62" s="10"/>
      <x:c r="C62" s="10"/>
      <x:c r="D62" s="10"/>
      <x:c r="E62" s="10"/>
      <x:c r="F62" s="10"/>
    </x:row>
    <x:row r="63" ht="19" customHeight="1">
      <x:c r="B63" s="10"/>
      <x:c r="C63" s="10"/>
      <x:c r="D63" s="10"/>
      <x:c r="E63" s="10"/>
      <x:c r="F63" s="10"/>
    </x:row>
    <x:row r="64" ht="19" customHeight="1">
      <x:c r="B64" s="10"/>
      <x:c r="C64" s="10"/>
      <x:c r="D64" s="10"/>
      <x:c r="E64" s="10"/>
      <x:c r="F64" s="10"/>
    </x:row>
    <x:row r="65" ht="19" customHeight="1">
      <x:c r="B65" s="10"/>
      <x:c r="C65" s="10"/>
      <x:c r="D65" s="10"/>
      <x:c r="E65" s="10"/>
      <x:c r="F65" s="10"/>
    </x:row>
    <x:row r="66" ht="19" customHeight="1">
      <x:c r="B66" s="10"/>
      <x:c r="C66" s="10"/>
      <x:c r="D66" s="10"/>
      <x:c r="E66" s="10"/>
      <x:c r="F66" s="10"/>
    </x:row>
    <x:row r="67" ht="19" customHeight="1">
      <x:c r="B67" s="10"/>
      <x:c r="C67" s="10"/>
      <x:c r="D67" s="10"/>
      <x:c r="E67" s="10"/>
      <x:c r="F67" s="10"/>
    </x:row>
    <x:row r="68" ht="19" customHeight="1">
      <x:c r="B68" s="10"/>
      <x:c r="C68" s="10"/>
      <x:c r="D68" s="10"/>
      <x:c r="E68" s="10"/>
      <x:c r="F68" s="10"/>
    </x:row>
    <x:row r="69" ht="19" customHeight="1">
      <x:c r="B69" s="10"/>
      <x:c r="C69" s="10"/>
      <x:c r="D69" s="10"/>
      <x:c r="E69" s="10"/>
      <x:c r="F69" s="10"/>
    </x:row>
    <x:row r="70" ht="19" customHeight="1">
      <x:c r="B70" s="10"/>
      <x:c r="C70" s="10"/>
      <x:c r="D70" s="10"/>
      <x:c r="E70" s="10"/>
      <x:c r="F70" s="10"/>
    </x:row>
    <x:row r="71" ht="19" customHeight="1">
      <x:c r="B71" s="10"/>
      <x:c r="C71" s="10"/>
      <x:c r="D71" s="10"/>
      <x:c r="E71" s="10"/>
      <x:c r="F71" s="10"/>
    </x:row>
    <x:row r="72" ht="19" customHeight="1">
      <x:c r="B72" s="10"/>
      <x:c r="C72" s="10"/>
      <x:c r="D72" s="10"/>
      <x:c r="E72" s="10"/>
      <x:c r="F72" s="10"/>
    </x:row>
    <x:row r="73" ht="19" customHeight="1">
      <x:c r="B73" s="10"/>
      <x:c r="C73" s="10"/>
      <x:c r="D73" s="10"/>
      <x:c r="E73" s="10"/>
      <x:c r="F73" s="10"/>
    </x:row>
    <x:row r="74" ht="19" customHeight="1">
      <x:c r="B74" s="10"/>
      <x:c r="C74" s="10"/>
      <x:c r="D74" s="10"/>
      <x:c r="E74" s="10"/>
      <x:c r="F74" s="10"/>
    </x:row>
    <x:row r="75" ht="19" customHeight="1">
      <x:c r="B75" s="10"/>
      <x:c r="C75" s="10"/>
      <x:c r="D75" s="10"/>
      <x:c r="E75" s="10"/>
      <x:c r="F75" s="10"/>
    </x:row>
    <x:row r="76" ht="19" customHeight="1">
      <x:c r="B76" s="10"/>
      <x:c r="C76" s="10"/>
      <x:c r="D76" s="10"/>
      <x:c r="E76" s="10"/>
      <x:c r="F76" s="10"/>
    </x:row>
    <x:row r="77" ht="19" customHeight="1">
      <x:c r="B77" s="10"/>
      <x:c r="C77" s="10"/>
      <x:c r="D77" s="10"/>
      <x:c r="E77" s="10"/>
      <x:c r="F77" s="10"/>
    </x:row>
    <x:row r="78" ht="19" customHeight="1">
      <x:c r="B78" s="10"/>
      <x:c r="C78" s="10"/>
      <x:c r="D78" s="10"/>
      <x:c r="E78" s="10"/>
      <x:c r="F78" s="10"/>
    </x:row>
    <x:row r="79" ht="19" customHeight="1">
      <x:c r="B79" s="10"/>
      <x:c r="C79" s="10"/>
      <x:c r="D79" s="10"/>
      <x:c r="E79" s="10"/>
      <x:c r="F79" s="10"/>
    </x:row>
    <x:row r="80" ht="19" customHeight="1">
      <x:c r="B80" s="10"/>
      <x:c r="C80" s="10"/>
      <x:c r="D80" s="10"/>
      <x:c r="E80" s="10"/>
      <x:c r="F80" s="10"/>
    </x:row>
    <x:row r="81" ht="19" customHeight="1">
      <x:c r="B81" s="10"/>
      <x:c r="C81" s="10"/>
      <x:c r="D81" s="10"/>
      <x:c r="E81" s="10"/>
      <x:c r="F81" s="10"/>
    </x:row>
    <x:row r="82" ht="19" customHeight="1">
      <x:c r="B82" s="10"/>
      <x:c r="C82" s="10"/>
      <x:c r="D82" s="10"/>
      <x:c r="E82" s="10"/>
      <x:c r="F82" s="10"/>
    </x:row>
    <x:row r="83" ht="19" customHeight="1">
      <x:c r="B83" s="10"/>
      <x:c r="C83" s="10"/>
      <x:c r="D83" s="10"/>
      <x:c r="E83" s="10"/>
      <x:c r="F83" s="10"/>
    </x:row>
    <x:row r="84" ht="19" customHeight="1">
      <x:c r="B84" s="10"/>
      <x:c r="C84" s="10"/>
      <x:c r="D84" s="10"/>
      <x:c r="E84" s="10"/>
      <x:c r="F84" s="10"/>
    </x:row>
    <x:row r="85" ht="19" customHeight="1">
      <x:c r="B85" s="10"/>
      <x:c r="C85" s="10"/>
      <x:c r="D85" s="10"/>
      <x:c r="E85" s="10"/>
      <x:c r="F85" s="10"/>
    </x:row>
    <x:row r="86" ht="19" customHeight="1">
      <x:c r="B86" s="10"/>
      <x:c r="C86" s="10"/>
      <x:c r="D86" s="10"/>
      <x:c r="E86" s="10"/>
      <x:c r="F86" s="10"/>
    </x:row>
    <x:row r="87" ht="19" customHeight="1">
      <x:c r="B87" s="10"/>
      <x:c r="C87" s="10"/>
      <x:c r="D87" s="10"/>
      <x:c r="E87" s="10"/>
      <x:c r="F87" s="10"/>
    </x:row>
    <x:row r="88" ht="19" customHeight="1">
      <x:c r="B88" s="10"/>
      <x:c r="C88" s="10"/>
      <x:c r="D88" s="10"/>
      <x:c r="E88" s="10"/>
      <x:c r="F88" s="10"/>
    </x:row>
    <x:row r="89" ht="19" customHeight="1">
      <x:c r="B89" s="10"/>
      <x:c r="C89" s="10"/>
      <x:c r="D89" s="10"/>
      <x:c r="E89" s="10"/>
      <x:c r="F89" s="10"/>
    </x:row>
    <x:row r="90" ht="19" customHeight="1">
      <x:c r="B90" s="10"/>
      <x:c r="C90" s="10"/>
      <x:c r="D90" s="10"/>
      <x:c r="E90" s="10"/>
      <x:c r="F90" s="10"/>
    </x:row>
  </x:sheetData>
  <x:mergeCells>
    <x:mergeCell ref="A1:F2"/>
    <x:mergeCell ref="A3:F3"/>
    <x:mergeCell ref="A5:F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80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7" customHeight="1">
      <x:c r="A1" s="3" t="str">
        <x:v>13 Validation Controls</x:v>
      </x:c>
      <x:c r="B1" s="3"/>
      <x:c r="C1" s="3"/>
      <x:c r="D1" s="3"/>
      <x:c r="E1" s="3"/>
      <x:c r="F1" s="3"/>
      <x:c r="G1" s="3"/>
    </x:row>
    <x:row r="2" ht="27" customHeight="1">
      <x:c r="A2" s="3"/>
      <x:c r="B2" s="3"/>
      <x:c r="C2" s="3"/>
      <x:c r="D2" s="3"/>
      <x:c r="E2" s="3"/>
      <x:c r="F2" s="3"/>
      <x:c r="G2" s="3"/>
    </x:row>
    <x:row r="3" ht="19" customHeight="1">
      <x:c r="A3" s="7" t="str">
        <x:v>0=passed; nonzero=fail • separate mathematical integrity from economic assumptions</x:v>
      </x:c>
      <x:c r="B3" s="7"/>
      <x:c r="C3" s="7"/>
      <x:c r="D3" s="7"/>
      <x:c r="E3" s="7"/>
      <x:c r="F3" s="7"/>
      <x:c r="G3" s="7"/>
    </x:row>
    <x:row r="4" ht="19" customHeight="1"/>
    <x:row r="5" ht="19" customHeight="1">
      <x:c r="A5" t="str">
        <x:v>Validation check</x:v>
      </x:c>
      <x:c r="B5" s="10" t="str">
        <x:v>Error / result</x:v>
      </x:c>
      <x:c r="C5" s="10" t="str">
        <x:v>Tolerance</x:v>
      </x:c>
      <x:c r="D5" s="10" t="str">
        <x:v>Status</x:v>
      </x:c>
      <x:c r="E5" s="10"/>
      <x:c r="F5" s="10"/>
      <x:c r="G5" s="10"/>
    </x:row>
    <x:row r="6" ht="19" customHeight="1">
      <x:c r="B6" s="10"/>
      <x:c r="C6" s="10"/>
      <x:c r="D6" s="10"/>
      <x:c r="E6" s="10"/>
      <x:c r="F6" s="10"/>
      <x:c r="G6" s="10"/>
    </x:row>
    <x:row r="7" ht="19" customHeight="1">
      <x:c r="A7" t="str">
        <x:v>FY2025 balance-sheet equality</x:v>
      </x:c>
      <x:c r="B7" s="24" t="n">
        <x:v>0</x:v>
      </x:c>
      <x:c r="C7" s="24" t="n">
        <x:v>0</x:v>
      </x:c>
      <x:c r="D7" s="26" t="str">
        <x:f>IF(ABS(B7)&lt;=C7,"PASS","FAIL")</x:f>
        <x:v>PASS</x:v>
      </x:c>
      <x:c r="E7" s="10"/>
      <x:c r="F7" s="10"/>
      <x:c r="G7" s="10"/>
    </x:row>
    <x:row r="8" ht="19" customHeight="1">
      <x:c r="A8" t="str">
        <x:v>H1 2026 balance-sheet equality</x:v>
      </x:c>
      <x:c r="B8" s="24" t="n">
        <x:v>0</x:v>
      </x:c>
      <x:c r="C8" s="24" t="n">
        <x:v>0</x:v>
      </x:c>
      <x:c r="D8" s="26" t="str">
        <x:f>IF(ABS(B8)&lt;=C8,"PASS","FAIL")</x:f>
        <x:v>PASS</x:v>
      </x:c>
      <x:c r="E8" s="10"/>
      <x:c r="F8" s="10"/>
      <x:c r="G8" s="10"/>
    </x:row>
    <x:row r="9" ht="19" customHeight="1">
      <x:c r="A9" t="str">
        <x:v>FY2025 FCFF two-route difference</x:v>
      </x:c>
      <x:c r="B9" s="34" t="n">
        <x:f>'05 FCFF'!B16</x:f>
        <x:v>0</x:v>
      </x:c>
      <x:c r="C9" s="24" t="n">
        <x:v>0.01</x:v>
      </x:c>
      <x:c r="D9" s="26" t="str">
        <x:f>IF(ABS(B9)&lt;=C9,"PASS","FAIL")</x:f>
        <x:v>PASS</x:v>
      </x:c>
      <x:c r="E9" s="10"/>
      <x:c r="F9" s="10"/>
      <x:c r="G9" s="10"/>
    </x:row>
    <x:row r="10" ht="19" customHeight="1">
      <x:c r="A10" t="str">
        <x:v>FY2026 Base FCFF two-route difference</x:v>
      </x:c>
      <x:c r="B10" s="34" t="n">
        <x:f>'05 FCFF'!C16</x:f>
        <x:v>0</x:v>
      </x:c>
      <x:c r="C10" s="24" t="n">
        <x:v>0.01</x:v>
      </x:c>
      <x:c r="D10" s="26" t="str">
        <x:f>IF(ABS(B10)&lt;=C10,"PASS","FAIL")</x:f>
        <x:v>PASS</x:v>
      </x:c>
      <x:c r="E10" s="10"/>
      <x:c r="F10" s="10"/>
      <x:c r="G10" s="10"/>
    </x:row>
    <x:row r="11" ht="19" customHeight="1">
      <x:c r="A11" t="str">
        <x:v>FY2031 Base FCFF two-route difference</x:v>
      </x:c>
      <x:c r="B11" s="34" t="n">
        <x:f>'05 FCFF'!H16</x:f>
        <x:v>0</x:v>
      </x:c>
      <x:c r="C11" s="24" t="n">
        <x:v>0.01</x:v>
      </x:c>
      <x:c r="D11" s="26" t="str">
        <x:f>IF(ABS(B11)&lt;=C11,"PASS","FAIL")</x:f>
        <x:v>PASS</x:v>
      </x:c>
      <x:c r="E11" s="10"/>
      <x:c r="F11" s="10"/>
      <x:c r="G11" s="10"/>
    </x:row>
    <x:row r="12" ht="19" customHeight="1">
      <x:c r="A12" t="str">
        <x:v>FY2026 revenue equals prior revenue*(1+g)</x:v>
      </x:c>
      <x:c r="B12" s="34" t="n">
        <x:f>'04 Financial Forecast'!C31-'04 Financial Forecast'!B31*(1+'04 Financial Forecast'!C32)</x:f>
        <x:v>0</x:v>
      </x:c>
      <x:c r="C12" s="24" t="n">
        <x:v>0.01</x:v>
      </x:c>
      <x:c r="D12" s="26" t="str">
        <x:f>IF(ABS(B12)&lt;=C12,"PASS","FAIL")</x:f>
        <x:v>PASS</x:v>
      </x:c>
      <x:c r="E12" s="10"/>
      <x:c r="F12" s="10"/>
      <x:c r="G12" s="10"/>
    </x:row>
    <x:row r="13" ht="19" customHeight="1">
      <x:c r="A13" t="str">
        <x:v>Terminal growth strictly lower than Base WACC</x:v>
      </x:c>
      <x:c r="B13" s="34" t="n">
        <x:f>IF('03 Forecast Assumptions'!C17&lt;'06 Cost of Equity &amp; WACC'!B30,0,1)</x:f>
        <x:v>0</x:v>
      </x:c>
      <x:c r="C13" s="24" t="n">
        <x:v>0</x:v>
      </x:c>
      <x:c r="D13" s="26" t="str">
        <x:f>IF(ABS(B13)&lt;=C13,"PASS","FAIL")</x:f>
        <x:v>PASS</x:v>
      </x:c>
      <x:c r="E13" s="10"/>
      <x:c r="F13" s="10"/>
      <x:c r="G13" s="10"/>
    </x:row>
    <x:row r="14" ht="19" customHeight="1">
      <x:c r="A14" t="str">
        <x:v>Terminal reinvestment rate within 0..1</x:v>
      </x:c>
      <x:c r="B14" s="34" t="n">
        <x:f>IF(AND('07 DCF Valuation'!B50&gt;=0,'07 DCF Valuation'!B50&lt;1),0,1)</x:f>
        <x:v>0</x:v>
      </x:c>
      <x:c r="C14" s="24" t="n">
        <x:v>0</x:v>
      </x:c>
      <x:c r="D14" s="26" t="str">
        <x:f>IF(ABS(B14)&lt;=C14,"PASS","FAIL")</x:f>
        <x:v>PASS</x:v>
      </x:c>
      <x:c r="E14" s="10"/>
      <x:c r="F14" s="10"/>
      <x:c r="G14" s="10"/>
    </x:row>
    <x:row r="15" ht="19" customHeight="1">
      <x:c r="A15" t="str">
        <x:v>Shares outstanding positive</x:v>
      </x:c>
      <x:c r="B15" s="34" t="n">
        <x:f>IF('08 Equity Bridge'!B10&gt;0,0,1)</x:f>
        <x:v>0</x:v>
      </x:c>
      <x:c r="C15" s="24" t="n">
        <x:v>0</x:v>
      </x:c>
      <x:c r="D15" s="26" t="str">
        <x:f>IF(ABS(B15)&lt;=C15,"PASS","FAIL")</x:f>
        <x:v>PASS</x:v>
      </x:c>
      <x:c r="E15" s="10"/>
      <x:c r="F15" s="10"/>
      <x:c r="G15" s="10"/>
    </x:row>
    <x:row r="16" ht="19" customHeight="1">
      <x:c r="A16" t="str">
        <x:v>No negative equity/debt weights</x:v>
      </x:c>
      <x:c r="B16" s="34" t="n">
        <x:f>IF(AND('06 Cost of Equity &amp; WACC'!B27&gt;=0,'06 Cost of Equity &amp; WACC'!B28&gt;=0),0,1)</x:f>
        <x:v>0</x:v>
      </x:c>
      <x:c r="C16" s="24" t="n">
        <x:v>0</x:v>
      </x:c>
      <x:c r="D16" s="26" t="str">
        <x:f>IF(ABS(B16)&lt;=C16,"PASS","FAIL")</x:f>
        <x:v>PASS</x:v>
      </x:c>
      <x:c r="E16" s="10"/>
      <x:c r="F16" s="10"/>
      <x:c r="G16" s="10"/>
    </x:row>
    <x:row r="17" ht="19" customHeight="1">
      <x:c r="A17" t="str">
        <x:v>Market cap/share bridge</x:v>
      </x:c>
      <x:c r="B17" s="34" t="n">
        <x:f>'08 Equity Bridge'!B7-'08 Equity Bridge'!B6*'08 Equity Bridge'!B10/1000000</x:f>
        <x:v>0</x:v>
      </x:c>
      <x:c r="C17" s="24" t="n">
        <x:v>0.01</x:v>
      </x:c>
      <x:c r="D17" s="26" t="str">
        <x:f>IF(ABS(B17)&lt;=C17,"PASS","FAIL")</x:f>
        <x:v>PASS</x:v>
      </x:c>
      <x:c r="E17" s="10"/>
      <x:c r="F17" s="10"/>
      <x:c r="G17" s="10"/>
    </x:row>
    <x:row r="18" ht="19" customHeight="1">
      <x:c r="A18" t="str">
        <x:v>Base DCF EV equals explicit + terminal</x:v>
      </x:c>
      <x:c r="B18" s="34" t="n">
        <x:f>'07 DCF Valuation'!B55-'07 DCF Valuation'!B45-'07 DCF Valuation'!B58</x:f>
        <x:v>-4871068.002995006</x:v>
      </x:c>
      <x:c r="C18" s="24" t="n">
        <x:v>0.01</x:v>
      </x:c>
      <x:c r="D18" s="26" t="str">
        <x:f>IF(ABS(B18)&lt;=C18,"PASS","FAIL")</x:f>
        <x:v>FAIL</x:v>
      </x:c>
      <x:c r="E18" s="10"/>
      <x:c r="F18" s="10"/>
      <x:c r="G18" s="10"/>
    </x:row>
    <x:row r="19" ht="19" customHeight="1">
      <x:c r="A19" t="str">
        <x:v>Base value/share conversion</x:v>
      </x:c>
      <x:c r="B19" s="34" t="n">
        <x:f>'07 DCF Valuation'!B55-'07 DCF Valuation'!B58*1000000/'08 Equity Bridge'!B10</x:f>
        <x:v>11975379.244042706</x:v>
      </x:c>
      <x:c r="C19" s="24" t="n">
        <x:v>0.01</x:v>
      </x:c>
      <x:c r="D19" s="26" t="str">
        <x:f>IF(ABS(B19)&lt;=C19,"PASS","FAIL")</x:f>
        <x:v>FAIL</x:v>
      </x:c>
      <x:c r="E19" s="10"/>
      <x:c r="F19" s="10"/>
      <x:c r="G19" s="10"/>
    </x:row>
    <x:row r="20" ht="19" customHeight="1">
      <x:c r="A20" t="str">
        <x:v>WACC equity+debt weights = 100%</x:v>
      </x:c>
      <x:c r="B20" s="34" t="n">
        <x:f>'06 Cost of Equity &amp; WACC'!B27+'06 Cost of Equity &amp; WACC'!B28-1</x:f>
        <x:v>0</x:v>
      </x:c>
      <x:c r="C20" s="24" t="n">
        <x:v>0.000001</x:v>
      </x:c>
      <x:c r="D20" s="26" t="str">
        <x:f>IF(ABS(B20)&lt;=C20,"PASS","FAIL")</x:f>
        <x:v>PASS</x:v>
      </x:c>
      <x:c r="E20" s="10"/>
      <x:c r="F20" s="10"/>
      <x:c r="G20" s="10"/>
    </x:row>
    <x:row r="21" ht="19" customHeight="1">
      <x:c r="A21" t="str">
        <x:v>Bear WACC &gt; g</x:v>
      </x:c>
      <x:c r="B21" s="34" t="n">
        <x:f>IF('07 DCF Valuation'!G12&gt;'07 DCF Valuation'!B17,0,1)</x:f>
        <x:v>0</x:v>
      </x:c>
      <x:c r="C21" s="24" t="n">
        <x:v>0</x:v>
      </x:c>
      <x:c r="D21" s="26" t="str">
        <x:f>IF(ABS(B21)&lt;=C21,"PASS","FAIL")</x:f>
        <x:v>PASS</x:v>
      </x:c>
      <x:c r="E21" s="10"/>
      <x:c r="F21" s="10"/>
      <x:c r="G21" s="10"/>
    </x:row>
    <x:row r="22" ht="19" customHeight="1">
      <x:c r="A22" t="str">
        <x:v>Bull WACC &gt; g</x:v>
      </x:c>
      <x:c r="B22" s="34" t="n">
        <x:f>IF('07 DCF Valuation'!G70&gt;'07 DCF Valuation'!B75,0,1)</x:f>
        <x:v>0</x:v>
      </x:c>
      <x:c r="C22" s="24" t="n">
        <x:v>0</x:v>
      </x:c>
      <x:c r="D22" s="26" t="str">
        <x:f>IF(ABS(B22)&lt;=C22,"PASS","FAIL")</x:f>
        <x:v>PASS</x:v>
      </x:c>
      <x:c r="E22" s="10"/>
      <x:c r="F22" s="10"/>
      <x:c r="G22" s="10"/>
    </x:row>
    <x:row r="23" ht="19" customHeight="1">
      <x:c r="A23" t="str">
        <x:v>Number of failed mathematical controls</x:v>
      </x:c>
      <x:c r="B23" s="26" t="n">
        <x:f>COUNTIF(D7:D22,"FAIL")</x:f>
        <x:v>2</x:v>
      </x:c>
      <x:c r="C23" s="10"/>
      <x:c r="D23" s="10"/>
      <x:c r="E23" s="10"/>
      <x:c r="F23" s="10"/>
      <x:c r="G23" s="10"/>
    </x:row>
    <x:row r="24" ht="19" customHeight="1">
      <x:c r="B24" s="10"/>
      <x:c r="C24" s="10"/>
      <x:c r="D24" s="10"/>
      <x:c r="E24" s="10"/>
      <x:c r="F24" s="10"/>
      <x:c r="G24" s="10"/>
    </x:row>
    <x:row r="25" ht="19" customHeight="1">
      <x:c r="B25" s="10"/>
      <x:c r="C25" s="10"/>
      <x:c r="D25" s="10"/>
      <x:c r="E25" s="10"/>
      <x:c r="F25" s="10"/>
      <x:c r="G25" s="10"/>
    </x:row>
    <x:row r="26" ht="19" customHeight="1">
      <x:c r="B26" s="10"/>
      <x:c r="C26" s="10"/>
      <x:c r="D26" s="10"/>
      <x:c r="E26" s="10"/>
      <x:c r="F26" s="10"/>
      <x:c r="G26" s="10"/>
    </x:row>
    <x:row r="27" ht="19" customHeight="1">
      <x:c r="A27" s="14" t="str">
        <x:v>GOVERNANCE EXCEPTIONS / RELEASE FLAGS</x:v>
      </x:c>
      <x:c r="B27" s="15"/>
      <x:c r="C27" s="15"/>
      <x:c r="D27" s="15"/>
      <x:c r="E27" s="15"/>
      <x:c r="F27" s="15"/>
      <x:c r="G27" s="15"/>
    </x:row>
    <x:row r="28" ht="19" customHeight="1">
      <x:c r="B28" s="10"/>
      <x:c r="C28" s="10"/>
      <x:c r="D28" s="10"/>
      <x:c r="E28" s="10"/>
      <x:c r="F28" s="10"/>
      <x:c r="G28" s="10"/>
    </x:row>
    <x:row r="29" ht="19" customHeight="1">
      <x:c r="A29" t="str">
        <x:v>H1 2025 exact D&amp;A and CFO components: incomplete; reported EBITDA 772.7b and EBIT 698b rounded.</x:v>
      </x:c>
      <x:c r="B29" s="10"/>
      <x:c r="C29" s="10"/>
      <x:c r="D29" s="10"/>
      <x:c r="E29" s="10"/>
      <x:c r="F29" s="10"/>
      <x:c r="G29" s="10"/>
    </x:row>
    <x:row r="30" ht="19" customHeight="1">
      <x:c r="A30" t="str">
        <x:v>US peer prices intentionally one session before Indonesia valuation date (US close after WIB cutoff).</x:v>
      </x:c>
      <x:c r="B30" s="10"/>
      <x:c r="C30" s="10"/>
      <x:c r="D30" s="10"/>
      <x:c r="E30" s="10"/>
      <x:c r="F30" s="10"/>
      <x:c r="G30" s="10"/>
    </x:row>
    <x:row r="31" ht="19" customHeight="1">
      <x:c r="A31" t="str">
        <x:v>Atmus Koch acquisition 2026 makes GAAP LTM denominator mix pre/post acquisition; NOT approved peer.</x:v>
      </x:c>
      <x:c r="B31" s="10"/>
      <x:c r="C31" s="10"/>
      <x:c r="D31" s="10"/>
      <x:c r="E31" s="10"/>
      <x:c r="F31" s="10"/>
      <x:c r="G31" s="10"/>
    </x:row>
    <x:row r="32" ht="19" customHeight="1">
      <x:c r="A32" t="str">
        <x:v>DCI US operating leases are capitalization proxy; USD multiples not translated to IDR.</x:v>
      </x:c>
      <x:c r="B32" s="10"/>
      <x:c r="C32" s="10"/>
      <x:c r="D32" s="10"/>
      <x:c r="E32" s="10"/>
      <x:c r="F32" s="10"/>
      <x:c r="G32" s="10"/>
    </x:row>
    <x:row r="33" ht="19" customHeight="1">
      <x:c r="A33" t="str">
        <x:v>AUTO 2026 NCI, investments, and denominator not fully harmonized; explicitly excluded.</x:v>
      </x:c>
      <x:c r="B33" s="10"/>
      <x:c r="C33" s="10"/>
      <x:c r="D33" s="10"/>
      <x:c r="E33" s="10"/>
      <x:c r="F33" s="10"/>
      <x:c r="G33" s="10"/>
    </x:row>
    <x:row r="34" ht="19" customHeight="1">
      <x:c r="A34" t="str">
        <x:v>Cash roll-forward June–October is modeled, not reported; paid dividends July/Aug fully considered.</x:v>
      </x:c>
      <x:c r="B34" s="10"/>
      <x:c r="C34" s="10"/>
      <x:c r="D34" s="10"/>
      <x:c r="E34" s="10"/>
      <x:c r="F34" s="10"/>
      <x:c r="G34" s="10"/>
    </x:row>
    <x:row r="35" ht="19" customHeight="1">
      <x:c r="A35" t="str">
        <x:v>Share count issued share proxy assumes no treasury/dilution; verify dated register.</x:v>
      </x:c>
      <x:c r="B35" s="10"/>
      <x:c r="C35" s="10"/>
      <x:c r="D35" s="10"/>
      <x:c r="E35" s="10"/>
      <x:c r="F35" s="10"/>
      <x:c r="G35" s="10"/>
    </x:row>
    <x:row r="36" ht="19" customHeight="1">
      <x:c r="A36" t="str">
        <x:v>NCI, associate values, minimum operating cash, derivative economic treatment are proxies.</x:v>
      </x:c>
      <x:c r="B36" s="10"/>
      <x:c r="C36" s="10"/>
      <x:c r="D36" s="10"/>
      <x:c r="E36" s="10"/>
      <x:c r="F36" s="10"/>
      <x:c r="G36" s="10"/>
    </x:row>
    <x:row r="37" ht="19" customHeight="1">
      <x:c r="A37" t="str">
        <x:v>Math PASS does not mean source/assumption verified, nor does it qualify final Buy/Hold/Sell.</x:v>
      </x:c>
      <x:c r="B37" s="10"/>
      <x:c r="C37" s="10"/>
      <x:c r="D37" s="10"/>
      <x:c r="E37" s="10"/>
      <x:c r="F37" s="10"/>
      <x:c r="G37" s="10"/>
    </x:row>
    <x:row r="38" ht="19" customHeight="1">
      <x:c r="B38" s="10"/>
      <x:c r="C38" s="10"/>
      <x:c r="D38" s="10"/>
      <x:c r="E38" s="10"/>
      <x:c r="F38" s="10"/>
      <x:c r="G38" s="10"/>
    </x:row>
    <x:row r="39" ht="19" customHeight="1">
      <x:c r="B39" s="10"/>
      <x:c r="C39" s="10"/>
      <x:c r="D39" s="10"/>
      <x:c r="E39" s="10"/>
      <x:c r="F39" s="10"/>
      <x:c r="G39" s="10"/>
    </x:row>
    <x:row r="40" ht="19" customHeight="1">
      <x:c r="B40" s="10"/>
      <x:c r="C40" s="10"/>
      <x:c r="D40" s="10"/>
      <x:c r="E40" s="10"/>
      <x:c r="F40" s="10"/>
      <x:c r="G40" s="10"/>
    </x:row>
    <x:row r="41" ht="19" customHeight="1">
      <x:c r="B41" s="10"/>
      <x:c r="C41" s="10"/>
      <x:c r="D41" s="10"/>
      <x:c r="E41" s="10"/>
      <x:c r="F41" s="10"/>
      <x:c r="G41" s="10"/>
    </x:row>
    <x:row r="42" ht="19" customHeight="1">
      <x:c r="B42" s="10"/>
      <x:c r="C42" s="10"/>
      <x:c r="D42" s="10"/>
      <x:c r="E42" s="10"/>
      <x:c r="F42" s="10"/>
      <x:c r="G42" s="10"/>
    </x:row>
    <x:row r="43" ht="19" customHeight="1">
      <x:c r="B43" s="10"/>
      <x:c r="C43" s="10"/>
      <x:c r="D43" s="10"/>
      <x:c r="E43" s="10"/>
      <x:c r="F43" s="10"/>
      <x:c r="G43" s="10"/>
    </x:row>
    <x:row r="44" ht="19" customHeight="1">
      <x:c r="B44" s="10"/>
      <x:c r="C44" s="10"/>
      <x:c r="D44" s="10"/>
      <x:c r="E44" s="10"/>
      <x:c r="F44" s="10"/>
      <x:c r="G44" s="10"/>
    </x:row>
    <x:row r="45" ht="19" customHeight="1">
      <x:c r="B45" s="10"/>
      <x:c r="C45" s="10"/>
      <x:c r="D45" s="10"/>
      <x:c r="E45" s="10"/>
      <x:c r="F45" s="10"/>
      <x:c r="G45" s="10"/>
    </x:row>
    <x:row r="46" ht="19" customHeight="1">
      <x:c r="B46" s="10"/>
      <x:c r="C46" s="10"/>
      <x:c r="D46" s="10"/>
      <x:c r="E46" s="10"/>
      <x:c r="F46" s="10"/>
      <x:c r="G46" s="10"/>
    </x:row>
    <x:row r="47" ht="19" customHeight="1">
      <x:c r="B47" s="10"/>
      <x:c r="C47" s="10"/>
      <x:c r="D47" s="10"/>
      <x:c r="E47" s="10"/>
      <x:c r="F47" s="10"/>
      <x:c r="G47" s="10"/>
    </x:row>
    <x:row r="48" ht="19" customHeight="1">
      <x:c r="B48" s="10"/>
      <x:c r="C48" s="10"/>
      <x:c r="D48" s="10"/>
      <x:c r="E48" s="10"/>
      <x:c r="F48" s="10"/>
      <x:c r="G48" s="10"/>
    </x:row>
    <x:row r="49" ht="19" customHeight="1">
      <x:c r="B49" s="10"/>
      <x:c r="C49" s="10"/>
      <x:c r="D49" s="10"/>
      <x:c r="E49" s="10"/>
      <x:c r="F49" s="10"/>
      <x:c r="G49" s="10"/>
    </x:row>
    <x:row r="50" ht="19" customHeight="1">
      <x:c r="B50" s="10"/>
      <x:c r="C50" s="10"/>
      <x:c r="D50" s="10"/>
      <x:c r="E50" s="10"/>
      <x:c r="F50" s="10"/>
      <x:c r="G50" s="10"/>
    </x:row>
    <x:row r="51" ht="19" customHeight="1">
      <x:c r="B51" s="10"/>
      <x:c r="C51" s="10"/>
      <x:c r="D51" s="10"/>
      <x:c r="E51" s="10"/>
      <x:c r="F51" s="10"/>
      <x:c r="G51" s="10"/>
    </x:row>
    <x:row r="52" ht="19" customHeight="1">
      <x:c r="B52" s="10"/>
      <x:c r="C52" s="10"/>
      <x:c r="D52" s="10"/>
      <x:c r="E52" s="10"/>
      <x:c r="F52" s="10"/>
      <x:c r="G52" s="10"/>
    </x:row>
    <x:row r="53" ht="19" customHeight="1">
      <x:c r="B53" s="10"/>
      <x:c r="C53" s="10"/>
      <x:c r="D53" s="10"/>
      <x:c r="E53" s="10"/>
      <x:c r="F53" s="10"/>
      <x:c r="G53" s="10"/>
    </x:row>
    <x:row r="54" ht="19" customHeight="1">
      <x:c r="B54" s="10"/>
      <x:c r="C54" s="10"/>
      <x:c r="D54" s="10"/>
      <x:c r="E54" s="10"/>
      <x:c r="F54" s="10"/>
      <x:c r="G54" s="10"/>
    </x:row>
    <x:row r="55" ht="19" customHeight="1">
      <x:c r="B55" s="10"/>
      <x:c r="C55" s="10"/>
      <x:c r="D55" s="10"/>
      <x:c r="E55" s="10"/>
      <x:c r="F55" s="10"/>
      <x:c r="G55" s="10"/>
    </x:row>
    <x:row r="56" ht="19" customHeight="1">
      <x:c r="B56" s="10"/>
      <x:c r="C56" s="10"/>
      <x:c r="D56" s="10"/>
      <x:c r="E56" s="10"/>
      <x:c r="F56" s="10"/>
      <x:c r="G56" s="10"/>
    </x:row>
    <x:row r="57" ht="19" customHeight="1">
      <x:c r="B57" s="10"/>
      <x:c r="C57" s="10"/>
      <x:c r="D57" s="10"/>
      <x:c r="E57" s="10"/>
      <x:c r="F57" s="10"/>
      <x:c r="G57" s="10"/>
    </x:row>
    <x:row r="58" ht="19" customHeight="1">
      <x:c r="B58" s="10"/>
      <x:c r="C58" s="10"/>
      <x:c r="D58" s="10"/>
      <x:c r="E58" s="10"/>
      <x:c r="F58" s="10"/>
      <x:c r="G58" s="10"/>
    </x:row>
    <x:row r="59" ht="19" customHeight="1">
      <x:c r="B59" s="10"/>
      <x:c r="C59" s="10"/>
      <x:c r="D59" s="10"/>
      <x:c r="E59" s="10"/>
      <x:c r="F59" s="10"/>
      <x:c r="G59" s="10"/>
    </x:row>
    <x:row r="60" ht="19" customHeight="1">
      <x:c r="B60" s="10"/>
      <x:c r="C60" s="10"/>
      <x:c r="D60" s="10"/>
      <x:c r="E60" s="10"/>
      <x:c r="F60" s="10"/>
      <x:c r="G60" s="10"/>
    </x:row>
    <x:row r="61" ht="19" customHeight="1">
      <x:c r="B61" s="10"/>
      <x:c r="C61" s="10"/>
      <x:c r="D61" s="10"/>
      <x:c r="E61" s="10"/>
      <x:c r="F61" s="10"/>
      <x:c r="G61" s="10"/>
    </x:row>
    <x:row r="62" ht="19" customHeight="1">
      <x:c r="B62" s="10"/>
      <x:c r="C62" s="10"/>
      <x:c r="D62" s="10"/>
      <x:c r="E62" s="10"/>
      <x:c r="F62" s="10"/>
      <x:c r="G62" s="10"/>
    </x:row>
    <x:row r="63" ht="19" customHeight="1">
      <x:c r="B63" s="10"/>
      <x:c r="C63" s="10"/>
      <x:c r="D63" s="10"/>
      <x:c r="E63" s="10"/>
      <x:c r="F63" s="10"/>
      <x:c r="G63" s="10"/>
    </x:row>
    <x:row r="64" ht="19" customHeight="1">
      <x:c r="B64" s="10"/>
      <x:c r="C64" s="10"/>
      <x:c r="D64" s="10"/>
      <x:c r="E64" s="10"/>
      <x:c r="F64" s="10"/>
      <x:c r="G64" s="10"/>
    </x:row>
    <x:row r="65" ht="19" customHeight="1">
      <x:c r="B65" s="10"/>
      <x:c r="C65" s="10"/>
      <x:c r="D65" s="10"/>
      <x:c r="E65" s="10"/>
      <x:c r="F65" s="10"/>
      <x:c r="G65" s="10"/>
    </x:row>
    <x:row r="66" ht="19" customHeight="1">
      <x:c r="B66" s="10"/>
      <x:c r="C66" s="10"/>
      <x:c r="D66" s="10"/>
      <x:c r="E66" s="10"/>
      <x:c r="F66" s="10"/>
      <x:c r="G66" s="10"/>
    </x:row>
    <x:row r="67" ht="19" customHeight="1">
      <x:c r="B67" s="10"/>
      <x:c r="C67" s="10"/>
      <x:c r="D67" s="10"/>
      <x:c r="E67" s="10"/>
      <x:c r="F67" s="10"/>
      <x:c r="G67" s="10"/>
    </x:row>
    <x:row r="68" ht="19" customHeight="1">
      <x:c r="B68" s="10"/>
      <x:c r="C68" s="10"/>
      <x:c r="D68" s="10"/>
      <x:c r="E68" s="10"/>
      <x:c r="F68" s="10"/>
      <x:c r="G68" s="10"/>
    </x:row>
    <x:row r="69" ht="19" customHeight="1">
      <x:c r="B69" s="10"/>
      <x:c r="C69" s="10"/>
      <x:c r="D69" s="10"/>
      <x:c r="E69" s="10"/>
      <x:c r="F69" s="10"/>
      <x:c r="G69" s="10"/>
    </x:row>
    <x:row r="70" ht="19" customHeight="1">
      <x:c r="B70" s="10"/>
      <x:c r="C70" s="10"/>
      <x:c r="D70" s="10"/>
      <x:c r="E70" s="10"/>
      <x:c r="F70" s="10"/>
      <x:c r="G70" s="10"/>
    </x:row>
    <x:row r="71" ht="19" customHeight="1">
      <x:c r="B71" s="10"/>
      <x:c r="C71" s="10"/>
      <x:c r="D71" s="10"/>
      <x:c r="E71" s="10"/>
      <x:c r="F71" s="10"/>
      <x:c r="G71" s="10"/>
    </x:row>
    <x:row r="72" ht="19" customHeight="1">
      <x:c r="B72" s="10"/>
      <x:c r="C72" s="10"/>
      <x:c r="D72" s="10"/>
      <x:c r="E72" s="10"/>
      <x:c r="F72" s="10"/>
      <x:c r="G72" s="10"/>
    </x:row>
    <x:row r="73" ht="19" customHeight="1">
      <x:c r="B73" s="10"/>
      <x:c r="C73" s="10"/>
      <x:c r="D73" s="10"/>
      <x:c r="E73" s="10"/>
      <x:c r="F73" s="10"/>
      <x:c r="G73" s="10"/>
    </x:row>
    <x:row r="74" ht="19" customHeight="1">
      <x:c r="B74" s="10"/>
      <x:c r="C74" s="10"/>
      <x:c r="D74" s="10"/>
      <x:c r="E74" s="10"/>
      <x:c r="F74" s="10"/>
      <x:c r="G74" s="10"/>
    </x:row>
    <x:row r="75" ht="19" customHeight="1">
      <x:c r="B75" s="10"/>
      <x:c r="C75" s="10"/>
      <x:c r="D75" s="10"/>
      <x:c r="E75" s="10"/>
      <x:c r="F75" s="10"/>
      <x:c r="G75" s="10"/>
    </x:row>
    <x:row r="76" ht="19" customHeight="1">
      <x:c r="B76" s="10"/>
      <x:c r="C76" s="10"/>
      <x:c r="D76" s="10"/>
      <x:c r="E76" s="10"/>
      <x:c r="F76" s="10"/>
      <x:c r="G76" s="10"/>
    </x:row>
    <x:row r="77" ht="19" customHeight="1">
      <x:c r="B77" s="10"/>
      <x:c r="C77" s="10"/>
      <x:c r="D77" s="10"/>
      <x:c r="E77" s="10"/>
      <x:c r="F77" s="10"/>
      <x:c r="G77" s="10"/>
    </x:row>
    <x:row r="78" ht="19" customHeight="1">
      <x:c r="B78" s="10"/>
      <x:c r="C78" s="10"/>
      <x:c r="D78" s="10"/>
      <x:c r="E78" s="10"/>
      <x:c r="F78" s="10"/>
      <x:c r="G78" s="10"/>
    </x:row>
    <x:row r="79" ht="19" customHeight="1">
      <x:c r="B79" s="10"/>
      <x:c r="C79" s="10"/>
      <x:c r="D79" s="10"/>
      <x:c r="E79" s="10"/>
      <x:c r="F79" s="10"/>
      <x:c r="G79" s="10"/>
    </x:row>
    <x:row r="80" ht="19" customHeight="1">
      <x:c r="B80" s="10"/>
      <x:c r="C80" s="10"/>
      <x:c r="D80" s="10"/>
      <x:c r="E80" s="10"/>
      <x:c r="F80" s="10"/>
      <x:c r="G80" s="10"/>
    </x:row>
    <x:row r="81" ht="19" customHeight="1">
      <x:c r="B81" s="10"/>
      <x:c r="C81" s="10"/>
      <x:c r="D81" s="10"/>
      <x:c r="E81" s="10"/>
      <x:c r="F81" s="10"/>
      <x:c r="G81" s="10"/>
    </x:row>
    <x:row r="82" ht="19" customHeight="1">
      <x:c r="B82" s="10"/>
      <x:c r="C82" s="10"/>
      <x:c r="D82" s="10"/>
      <x:c r="E82" s="10"/>
      <x:c r="F82" s="10"/>
      <x:c r="G82" s="10"/>
    </x:row>
    <x:row r="83" ht="19" customHeight="1">
      <x:c r="B83" s="10"/>
      <x:c r="C83" s="10"/>
      <x:c r="D83" s="10"/>
      <x:c r="E83" s="10"/>
      <x:c r="F83" s="10"/>
      <x:c r="G83" s="10"/>
    </x:row>
    <x:row r="84" ht="19" customHeight="1">
      <x:c r="B84" s="10"/>
      <x:c r="C84" s="10"/>
      <x:c r="D84" s="10"/>
      <x:c r="E84" s="10"/>
      <x:c r="F84" s="10"/>
      <x:c r="G84" s="10"/>
    </x:row>
    <x:row r="85" ht="19" customHeight="1">
      <x:c r="B85" s="10"/>
      <x:c r="C85" s="10"/>
      <x:c r="D85" s="10"/>
      <x:c r="E85" s="10"/>
      <x:c r="F85" s="10"/>
      <x:c r="G85" s="10"/>
    </x:row>
    <x:row r="86" ht="19" customHeight="1">
      <x:c r="B86" s="10"/>
      <x:c r="C86" s="10"/>
      <x:c r="D86" s="10"/>
      <x:c r="E86" s="10"/>
      <x:c r="F86" s="10"/>
      <x:c r="G86" s="10"/>
    </x:row>
    <x:row r="87" ht="19" customHeight="1">
      <x:c r="B87" s="10"/>
      <x:c r="C87" s="10"/>
      <x:c r="D87" s="10"/>
      <x:c r="E87" s="10"/>
      <x:c r="F87" s="10"/>
      <x:c r="G87" s="10"/>
    </x:row>
    <x:row r="88" ht="19" customHeight="1">
      <x:c r="B88" s="10"/>
      <x:c r="C88" s="10"/>
      <x:c r="D88" s="10"/>
      <x:c r="E88" s="10"/>
      <x:c r="F88" s="10"/>
      <x:c r="G88" s="10"/>
    </x:row>
    <x:row r="89" ht="19" customHeight="1">
      <x:c r="B89" s="10"/>
      <x:c r="C89" s="10"/>
      <x:c r="D89" s="10"/>
      <x:c r="E89" s="10"/>
      <x:c r="F89" s="10"/>
      <x:c r="G89" s="10"/>
    </x:row>
    <x:row r="90" ht="19" customHeight="1">
      <x:c r="B90" s="10"/>
      <x:c r="C90" s="10"/>
      <x:c r="D90" s="10"/>
      <x:c r="E90" s="10"/>
      <x:c r="F90" s="10"/>
      <x:c r="G90" s="10"/>
    </x:row>
  </x:sheetData>
  <x:mergeCells>
    <x:mergeCell ref="A1:G2"/>
    <x:mergeCell ref="A3:G3"/>
    <x:mergeCell ref="A27:G27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4" hidden="0" customWidth="1"/>
    <x:col min="3" max="3" width="21" hidden="0" customWidth="1"/>
    <x:col min="4" max="4" width="21" hidden="0" customWidth="1"/>
    <x:col min="5" max="5" width="77" hidden="0" customWidth="1"/>
    <x:col min="6" max="6" width="82" hidden="0" customWidth="1"/>
  </x:cols>
  <x:sheetData>
    <x:row r="1" ht="27" customHeight="1">
      <x:c r="A1" s="3" t="str">
        <x:v>14 Sources / Assumptions</x:v>
      </x:c>
      <x:c r="B1" s="3"/>
      <x:c r="C1" s="3"/>
      <x:c r="D1" s="3"/>
      <x:c r="E1" s="3"/>
      <x:c r="F1" s="3"/>
    </x:row>
    <x:row r="2" ht="27" customHeight="1">
      <x:c r="A2" s="3"/>
      <x:c r="B2" s="3"/>
      <x:c r="C2" s="3"/>
      <x:c r="D2" s="3"/>
      <x:c r="E2" s="3"/>
      <x:c r="F2" s="3"/>
    </x:row>
    <x:row r="3" ht="19" customHeight="1">
      <x:c r="A3" s="7" t="str">
        <x:v>Research traceability • as-of-date cutoff enforced • URLs stored as text</x:v>
      </x:c>
      <x:c r="B3" s="7"/>
      <x:c r="C3" s="7"/>
      <x:c r="D3" s="7"/>
      <x:c r="E3" s="7"/>
      <x:c r="F3" s="7"/>
    </x:row>
    <x:row r="4" ht="19" customHeight="1"/>
    <x:row r="5" ht="19" customHeight="1">
      <x:c r="A5" t="str">
        <x:v>Source ID</x:v>
      </x:c>
      <x:c r="B5" s="10" t="str">
        <x:v>Description</x:v>
      </x:c>
      <x:c r="C5" s="10" t="str">
        <x:v>Effective period</x:v>
      </x:c>
      <x:c r="D5" s="10" t="str">
        <x:v>Evidence class</x:v>
      </x:c>
      <x:c r="E5" s="10" t="str">
        <x:v>Source URL</x:v>
      </x:c>
      <x:c r="F5" s="10" t="str">
        <x:v>Notes</x:v>
      </x:c>
    </x:row>
    <x:row r="6" ht="19" customHeight="1">
      <x:c r="A6" t="str">
        <x:v>SMSM-01</x:v>
      </x:c>
      <x:c r="B6" s="10" t="str">
        <x:v>FY2025 annual report / audited consolidated statements</x:v>
      </x:c>
      <x:c r="C6" s="10" t="str">
        <x:v>FY2025</x:v>
      </x:c>
      <x:c r="D6" s="10" t="str">
        <x:v>Primary</x:v>
      </x:c>
      <x:c r="E6" s="10" t="str">
        <x:v>https://smsm.co.id/uploads/attachment/Annual%20Report%20SMSM%202025.pdf</x:v>
      </x:c>
      <x:c r="F6" s="10" t="str">
        <x:v>Stage 2B basis; note historical restatements</x:v>
      </x:c>
    </x:row>
    <x:row r="7" ht="19" customHeight="1">
      <x:c r="A7" t="str">
        <x:v>SMSM-02</x:v>
      </x:c>
      <x:c r="B7" s="10" t="str">
        <x:v>Interim consolidated FY2026 6M statements</x:v>
      </x:c>
      <x:c r="C7" s="10" t="str">
        <x:v>H1 2026</x:v>
      </x:c>
      <x:c r="D7" s="10" t="str">
        <x:v>Primary</x:v>
      </x:c>
      <x:c r="E7" s="10" t="str">
        <x:v>https://smsm.co.id/uploads/attachment/Laporan%20Keuangan%20SMSM%2030%20Jun%202026.pdf</x:v>
      </x:c>
      <x:c r="F7" s="10" t="str">
        <x:v>Unaudited, 30 June</x:v>
      </x:c>
    </x:row>
    <x:row r="8" ht="19" customHeight="1">
      <x:c r="A8" t="str">
        <x:v>SMSM-03</x:v>
      </x:c>
      <x:c r="B8" s="10" t="str">
        <x:v>2025 investor briefing first half 2025 comparatives</x:v>
      </x:c>
      <x:c r="C8" s="10" t="str">
        <x:v>H1 2025</x:v>
      </x:c>
      <x:c r="D8" s="10" t="str">
        <x:v>Primary</x:v>
      </x:c>
      <x:c r="E8" s="10" t="str">
        <x:v>https://smsm.co.id/uploads/attachment/English%20-%20Materi%20Paparan%20Publik%20SMSM%20%28Pubex%20Live%202025%29%2020250916.pdf</x:v>
      </x:c>
      <x:c r="F8" s="10" t="str">
        <x:v>Rounded Rp billion; operating EBIT 698, EBITDA 772.7</x:v>
      </x:c>
    </x:row>
    <x:row r="9" ht="19" customHeight="1">
      <x:c r="A9" t="str">
        <x:v>SMSM-04</x:v>
      </x:c>
      <x:c r="B9" s="10" t="str">
        <x:v>SMSM dividend calendar</x:v>
      </x:c>
      <x:c r="C9" s="10" t="str">
        <x:v>2026</x:v>
      </x:c>
      <x:c r="D9" s="10" t="str">
        <x:v>Primary</x:v>
      </x:c>
      <x:c r="E9" s="10" t="str">
        <x:v>https://www.smsm.co.id/caldividend.php</x:v>
      </x:c>
      <x:c r="F9" s="10" t="str">
        <x:v>Rp40 Jul 2 and Rp40 Aug 27 2026</x:v>
      </x:c>
    </x:row>
    <x:row r="10" ht="19" customHeight="1">
      <x:c r="A10" t="str">
        <x:v>SMSM-05</x:v>
      </x:c>
      <x:c r="B10" s="10" t="str">
        <x:v>KSEI listed shares / distributions</x:v>
      </x:c>
      <x:c r="C10" s="10" t="str">
        <x:v>2026</x:v>
      </x:c>
      <x:c r="D10" s="10" t="str">
        <x:v>Primary</x:v>
      </x:c>
      <x:c r="E10" s="10" t="str">
        <x:v>https://web.ksei.co.id/services/registered-securities/shares/lc/SMSM</x:v>
      </x:c>
      <x:c r="F10" s="10" t="str">
        <x:v>Shares/entitlements; treasury shares not independently established</x:v>
      </x:c>
    </x:row>
    <x:row r="11" ht="19" customHeight="1">
      <x:c r="A11" t="str">
        <x:v>PRICE-01</x:v>
      </x:c>
      <x:c r="B11" s="10" t="str">
        <x:v>SMSM Oct 23 closing price Rp1670</x:v>
      </x:c>
      <x:c r="C11" s="10" t="str">
        <x:v>2026-10-23</x:v>
      </x:c>
      <x:c r="D11" s="10" t="str">
        <x:v>Secondary</x:v>
      </x:c>
      <x:c r="E11" s="10" t="str">
        <x:v>https://stockanalysis.com/quote/idx/SMSM/history/</x:v>
      </x:c>
      <x:c r="F11" s="10" t="str">
        <x:v>IDR per share, 23 Oct close</x:v>
      </x:c>
    </x:row>
    <x:row r="12" ht="19" customHeight="1">
      <x:c r="A12" t="str">
        <x:v>YIELD-01</x:v>
      </x:c>
      <x:c r="B12" s="10" t="str">
        <x:v>Indonesia sovereign 10-year 7.446%</x:v>
      </x:c>
      <x:c r="C12" s="10" t="str">
        <x:v>2026-10-23</x:v>
      </x:c>
      <x:c r="D12" s="10" t="str">
        <x:v>Secondary</x:v>
      </x:c>
      <x:c r="E12" s="10" t="str">
        <x:v>https://www.investing.com/rates-bonds/indonesia-10-year-bond-yield-historical-data</x:v>
      </x:c>
      <x:c r="F12" s="10" t="str">
        <x:v>Subtract sovereign spread to approximate IDR default free</x:v>
      </x:c>
    </x:row>
    <x:row r="13" ht="19" customHeight="1">
      <x:c r="A13" t="str">
        <x:v>ERP-01</x:v>
      </x:c>
      <x:c r="B13" s="10" t="str">
        <x:v>Damodaran Indonesia July 2026 6.56% ERP /2.36% CRP /1.52% default</x:v>
      </x:c>
      <x:c r="C13" s="10" t="str">
        <x:v>2026-07-01</x:v>
      </x:c>
      <x:c r="D13" s="10" t="str">
        <x:v>Derived mirror</x:v>
      </x:c>
      <x:c r="E13" s="10" t="str">
        <x:v>https://tools.theinvestlog.com/indicators/country-risk-premiums/</x:v>
      </x:c>
      <x:c r="F13" s="10" t="str">
        <x:v>Damodaran July 2026 estimates; mature ERP 4.20%</x:v>
      </x:c>
    </x:row>
    <x:row r="14" ht="19" customHeight="1">
      <x:c r="A14" t="str">
        <x:v>BETA-01</x:v>
      </x:c>
      <x:c r="B14" s="10" t="str">
        <x:v>Damodaran January 2026 global auto parts unlevered beta 1.20</x:v>
      </x:c>
      <x:c r="C14" s="10" t="str">
        <x:v>2026-01</x:v>
      </x:c>
      <x:c r="D14" s="10" t="str">
        <x:v>Primary academic</x:v>
      </x:c>
      <x:c r="E14" s="10" t="str">
        <x:v>https://pages.stern.nyu.edu/adamodar/New_Home_Page/datafile/BetasGlobal.html</x:v>
      </x:c>
      <x:c r="F14" s="10" t="str">
        <x:v>Sector beta proxy not three named peer bottom-up</x:v>
      </x:c>
    </x:row>
    <x:row r="15" ht="19" customHeight="1">
      <x:c r="A15" t="str">
        <x:v>ATMU-01</x:v>
      </x:c>
      <x:c r="B15" s="10" t="str">
        <x:v>ATMU audited FY2025 10K and June 2026 10Q</x:v>
      </x:c>
      <x:c r="C15" s="10" t="str">
        <x:v>FY2025/H1 2026</x:v>
      </x:c>
      <x:c r="D15" s="10" t="str">
        <x:v>Primary</x:v>
      </x:c>
      <x:c r="E15" s="10" t="str">
        <x:v>https://www.sec.gov/Archives/edgar/data/1921963/000192196326000069/atmu-20260630.htm</x:v>
      </x:c>
      <x:c r="F15" s="10" t="str">
        <x:v>Acquisition Koch; LTM EBIT adjusted FY25+H126-H125</x:v>
      </x:c>
    </x:row>
    <x:row r="16" ht="19" customHeight="1">
      <x:c r="A16" t="str">
        <x:v>ATMU-02</x:v>
      </x:c>
      <x:c r="B16" s="10" t="str">
        <x:v>ATMU price on 22 Oct 2026</x:v>
      </x:c>
      <x:c r="C16" s="10" t="str">
        <x:v>2026-10-22</x:v>
      </x:c>
      <x:c r="D16" s="10" t="str">
        <x:v>Secondary</x:v>
      </x:c>
      <x:c r="E16" s="10" t="str">
        <x:v>https://stockanalysis.com/stocks/atmu/history/</x:v>
      </x:c>
      <x:c r="F16" s="10" t="str">
        <x:v>US 23 Oct would close on 24 Oct Jakarta time</x:v>
      </x:c>
    </x:row>
    <x:row r="17" ht="19" customHeight="1">
      <x:c r="A17" t="str">
        <x:v>DCI-01</x:v>
      </x:c>
      <x:c r="B17" s="10" t="str">
        <x:v>Donaldson FY2026 10K</x:v>
      </x:c>
      <x:c r="C17" s="10" t="str">
        <x:v>FY ended July 2026</x:v>
      </x:c>
      <x:c r="D17" s="10" t="str">
        <x:v>Primary</x:v>
      </x:c>
      <x:c r="E17" s="10" t="str">
        <x:v>https://www.sec.gov/Archives/edgar/data/29644/000002964426000085/dci-20260731.htm</x:v>
      </x:c>
      <x:c r="F17" s="10" t="str">
        <x:v>Lease liability 57.9; cash 250.4; debt 1324.8</x:v>
      </x:c>
    </x:row>
    <x:row r="18" ht="19" customHeight="1">
      <x:c r="A18" t="str">
        <x:v>DCI-02</x:v>
      </x:c>
      <x:c r="B18" s="10" t="str">
        <x:v>DCI price on 22 Oct 2026</x:v>
      </x:c>
      <x:c r="C18" s="10" t="str">
        <x:v>2026-10-22</x:v>
      </x:c>
      <x:c r="D18" s="10" t="str">
        <x:v>Secondary</x:v>
      </x:c>
      <x:c r="E18" s="10" t="str">
        <x:v>https://stockanalysis.com/stocks/dci/history/</x:v>
      </x:c>
      <x:c r="F18" s="10" t="str">
        <x:v>USD86.12 pre cutoff</x:v>
      </x:c>
    </x:row>
    <x:row r="19" ht="19" customHeight="1">
      <x:c r="A19" t="str">
        <x:v>AUTO-01</x:v>
      </x:c>
      <x:c r="B19" s="10" t="str">
        <x:v>Astra Otoparts 2025 financial highlight</x:v>
      </x:c>
      <x:c r="C19" s="10" t="str">
        <x:v>FY2025</x:v>
      </x:c>
      <x:c r="D19" s="10" t="str">
        <x:v>Primary</x:v>
      </x:c>
      <x:c r="E19" s="10" t="str">
        <x:v>https://www.astra-otoparts.com/Content/PDF/Financial-Highlights/91publish-to-web-fy25.pdf</x:v>
      </x:c>
      <x:c r="F19" s="10" t="str">
        <x:v>Associate investments material</x:v>
      </x:c>
    </x:row>
    <x:row r="20" ht="19" customHeight="1">
      <x:c r="A20" t="str">
        <x:v>AUTO-02</x:v>
      </x:c>
      <x:c r="B20" s="10" t="str">
        <x:v>AUTO price 23 Oct 2026</x:v>
      </x:c>
      <x:c r="C20" s="10" t="str">
        <x:v>2026-10-23</x:v>
      </x:c>
      <x:c r="D20" s="10" t="str">
        <x:v>Secondary</x:v>
      </x:c>
      <x:c r="E20" s="10" t="str">
        <x:v>https://stockanalysis.com/quote/idx/AUTO/history/</x:v>
      </x:c>
      <x:c r="F20" s="10" t="str">
        <x:v>IDR3280 as of market close</x:v>
      </x:c>
    </x:row>
    <x:row r="21" ht="19" customHeight="1">
      <x:c r="A21" t="str">
        <x:v>DAMODARAN</x:v>
      </x:c>
      <x:c r="B21" s="10" t="str">
        <x:v>Investment Valuation (2012) Ch 7–18</x:v>
      </x:c>
      <x:c r="C21" s="10" t="str">
        <x:v>Reference</x:v>
      </x:c>
      <x:c r="D21" s="10" t="str">
        <x:v>Course book</x:v>
      </x:c>
      <x:c r="E21" s="10" t="str">
        <x:v>https://pages.stern.nyu.edu/~adamodar/New_Home_Page/valuationtools.html</x:v>
      </x:c>
      <x:c r="F21" s="10" t="str">
        <x:v>FCFF/WACC, claims and trading multiples</x:v>
      </x:c>
    </x:row>
    <x:row r="22" ht="19" customHeight="1">
      <x:c r="B22" s="10"/>
      <x:c r="C22" s="10"/>
      <x:c r="D22" s="10"/>
      <x:c r="E22" s="10"/>
      <x:c r="F22" s="10"/>
    </x:row>
    <x:row r="23" ht="19" customHeight="1">
      <x:c r="B23" s="10"/>
      <x:c r="C23" s="10"/>
      <x:c r="D23" s="10"/>
      <x:c r="E23" s="10"/>
      <x:c r="F23" s="10"/>
    </x:row>
    <x:row r="24" ht="19" customHeight="1">
      <x:c r="B24" s="10"/>
      <x:c r="C24" s="10"/>
      <x:c r="D24" s="10"/>
      <x:c r="E24" s="10"/>
      <x:c r="F24" s="10"/>
    </x:row>
    <x:row r="25" ht="19" customHeight="1">
      <x:c r="A25" s="14" t="str">
        <x:v>UNCERTAINTY &amp; DATA POLICY</x:v>
      </x:c>
      <x:c r="B25" s="15"/>
      <x:c r="C25" s="15"/>
      <x:c r="D25" s="15"/>
      <x:c r="E25" s="15"/>
      <x:c r="F25" s="15"/>
    </x:row>
    <x:row r="26" ht="19" customHeight="1">
      <x:c r="B26" s="10"/>
      <x:c r="C26" s="10"/>
      <x:c r="D26" s="10"/>
      <x:c r="E26" s="10"/>
      <x:c r="F26" s="10"/>
    </x:row>
    <x:row r="27" ht="19" customHeight="1">
      <x:c r="A27" t="str">
        <x:v>A=analyst economic assumption; P=book-value economic proxy; US peer 2026 close uses 22 October.</x:v>
      </x:c>
      <x:c r="B27" s="10"/>
      <x:c r="C27" s="10"/>
      <x:c r="D27" s="10"/>
      <x:c r="E27" s="10"/>
      <x:c r="F27" s="10"/>
    </x:row>
    <x:row r="28" ht="19" customHeight="1">
      <x:c r="A28" t="str">
        <x:v>No date-later source is imported as 23 Oct knowledge. FY2026 Q3 unaudited not established as available.</x:v>
      </x:c>
      <x:c r="B28" s="10"/>
      <x:c r="C28" s="10"/>
      <x:c r="D28" s="10"/>
      <x:c r="E28" s="10"/>
      <x:c r="F28" s="10"/>
    </x:row>
    <x:row r="29" ht="19" customHeight="1">
      <x:c r="A29" t="str">
        <x:v>FY2026 October cash / debt roll-forward only estimates. Live source must overwrite assumptions when available.</x:v>
      </x:c>
      <x:c r="B29" s="10"/>
      <x:c r="C29" s="10"/>
      <x:c r="D29" s="10"/>
      <x:c r="E29" s="10"/>
      <x:c r="F29" s="10"/>
    </x:row>
    <x:row r="30" ht="19" customHeight="1">
      <x:c r="A30" t="str">
        <x:v>Peer methodology: DCI one conditional benchmark, ATMU acquisition excluded, AUTO nonconsolidated value unresolved.</x:v>
      </x:c>
      <x:c r="B30" s="10"/>
      <x:c r="C30" s="10"/>
      <x:c r="D30" s="10"/>
      <x:c r="E30" s="10"/>
      <x:c r="F30" s="10"/>
    </x:row>
    <x:row r="31" ht="19" customHeight="1">
      <x:c r="A31" t="str">
        <x:v>Final recommendation withheld until credible peer sample, as-of-date share count and updated bridge are approved.</x:v>
      </x:c>
      <x:c r="B31" s="10"/>
      <x:c r="C31" s="10"/>
      <x:c r="D31" s="10"/>
      <x:c r="E31" s="10"/>
      <x:c r="F31" s="10"/>
    </x:row>
    <x:row r="32" ht="19" customHeight="1">
      <x:c r="B32" s="10"/>
      <x:c r="C32" s="10"/>
      <x:c r="D32" s="10"/>
      <x:c r="E32" s="10"/>
      <x:c r="F32" s="10"/>
    </x:row>
    <x:row r="33" ht="19" customHeight="1">
      <x:c r="B33" s="10"/>
      <x:c r="C33" s="10"/>
      <x:c r="D33" s="10"/>
      <x:c r="E33" s="10"/>
      <x:c r="F33" s="10"/>
    </x:row>
    <x:row r="34" ht="19" customHeight="1">
      <x:c r="B34" s="10"/>
      <x:c r="C34" s="10"/>
      <x:c r="D34" s="10"/>
      <x:c r="E34" s="10"/>
      <x:c r="F34" s="10"/>
    </x:row>
    <x:row r="35" ht="19" customHeight="1">
      <x:c r="B35" s="10"/>
      <x:c r="C35" s="10"/>
      <x:c r="D35" s="10"/>
      <x:c r="E35" s="10"/>
      <x:c r="F35" s="10"/>
    </x:row>
    <x:row r="36" ht="19" customHeight="1">
      <x:c r="B36" s="10"/>
      <x:c r="C36" s="10"/>
      <x:c r="D36" s="10"/>
      <x:c r="E36" s="10"/>
      <x:c r="F36" s="10"/>
    </x:row>
    <x:row r="37" ht="19" customHeight="1">
      <x:c r="B37" s="10"/>
      <x:c r="C37" s="10"/>
      <x:c r="D37" s="10"/>
      <x:c r="E37" s="10"/>
      <x:c r="F37" s="10"/>
    </x:row>
    <x:row r="38" ht="19" customHeight="1">
      <x:c r="B38" s="10"/>
      <x:c r="C38" s="10"/>
      <x:c r="D38" s="10"/>
      <x:c r="E38" s="10"/>
      <x:c r="F38" s="10"/>
    </x:row>
    <x:row r="39" ht="19" customHeight="1">
      <x:c r="B39" s="10"/>
      <x:c r="C39" s="10"/>
      <x:c r="D39" s="10"/>
      <x:c r="E39" s="10"/>
      <x:c r="F39" s="10"/>
    </x:row>
    <x:row r="40" ht="19" customHeight="1">
      <x:c r="B40" s="10"/>
      <x:c r="C40" s="10"/>
      <x:c r="D40" s="10"/>
      <x:c r="E40" s="10"/>
      <x:c r="F40" s="10"/>
    </x:row>
    <x:row r="41" ht="19" customHeight="1">
      <x:c r="B41" s="10"/>
      <x:c r="C41" s="10"/>
      <x:c r="D41" s="10"/>
      <x:c r="E41" s="10"/>
      <x:c r="F41" s="10"/>
    </x:row>
    <x:row r="42" ht="19" customHeight="1">
      <x:c r="B42" s="10"/>
      <x:c r="C42" s="10"/>
      <x:c r="D42" s="10"/>
      <x:c r="E42" s="10"/>
      <x:c r="F42" s="10"/>
    </x:row>
    <x:row r="43" ht="19" customHeight="1">
      <x:c r="B43" s="10"/>
      <x:c r="C43" s="10"/>
      <x:c r="D43" s="10"/>
      <x:c r="E43" s="10"/>
      <x:c r="F43" s="10"/>
    </x:row>
    <x:row r="44" ht="19" customHeight="1">
      <x:c r="B44" s="10"/>
      <x:c r="C44" s="10"/>
      <x:c r="D44" s="10"/>
      <x:c r="E44" s="10"/>
      <x:c r="F44" s="10"/>
    </x:row>
    <x:row r="45" ht="19" customHeight="1">
      <x:c r="B45" s="10"/>
      <x:c r="C45" s="10"/>
      <x:c r="D45" s="10"/>
      <x:c r="E45" s="10"/>
      <x:c r="F45" s="10"/>
    </x:row>
    <x:row r="46" ht="19" customHeight="1">
      <x:c r="B46" s="10"/>
      <x:c r="C46" s="10"/>
      <x:c r="D46" s="10"/>
      <x:c r="E46" s="10"/>
      <x:c r="F46" s="10"/>
    </x:row>
    <x:row r="47" ht="19" customHeight="1">
      <x:c r="B47" s="10"/>
      <x:c r="C47" s="10"/>
      <x:c r="D47" s="10"/>
      <x:c r="E47" s="10"/>
      <x:c r="F47" s="10"/>
    </x:row>
    <x:row r="48" ht="19" customHeight="1">
      <x:c r="B48" s="10"/>
      <x:c r="C48" s="10"/>
      <x:c r="D48" s="10"/>
      <x:c r="E48" s="10"/>
      <x:c r="F48" s="10"/>
    </x:row>
    <x:row r="49" ht="19" customHeight="1">
      <x:c r="B49" s="10"/>
      <x:c r="C49" s="10"/>
      <x:c r="D49" s="10"/>
      <x:c r="E49" s="10"/>
      <x:c r="F49" s="10"/>
    </x:row>
    <x:row r="50" ht="19" customHeight="1">
      <x:c r="B50" s="10"/>
      <x:c r="C50" s="10"/>
      <x:c r="D50" s="10"/>
      <x:c r="E50" s="10"/>
      <x:c r="F50" s="10"/>
    </x:row>
    <x:row r="51" ht="19" customHeight="1">
      <x:c r="B51" s="10"/>
      <x:c r="C51" s="10"/>
      <x:c r="D51" s="10"/>
      <x:c r="E51" s="10"/>
      <x:c r="F51" s="10"/>
    </x:row>
    <x:row r="52" ht="19" customHeight="1">
      <x:c r="B52" s="10"/>
      <x:c r="C52" s="10"/>
      <x:c r="D52" s="10"/>
      <x:c r="E52" s="10"/>
      <x:c r="F52" s="10"/>
    </x:row>
    <x:row r="53" ht="19" customHeight="1">
      <x:c r="B53" s="10"/>
      <x:c r="C53" s="10"/>
      <x:c r="D53" s="10"/>
      <x:c r="E53" s="10"/>
      <x:c r="F53" s="10"/>
    </x:row>
    <x:row r="54" ht="19" customHeight="1">
      <x:c r="B54" s="10"/>
      <x:c r="C54" s="10"/>
      <x:c r="D54" s="10"/>
      <x:c r="E54" s="10"/>
      <x:c r="F54" s="10"/>
    </x:row>
    <x:row r="55" ht="19" customHeight="1">
      <x:c r="B55" s="10"/>
      <x:c r="C55" s="10"/>
      <x:c r="D55" s="10"/>
      <x:c r="E55" s="10"/>
      <x:c r="F55" s="10"/>
    </x:row>
    <x:row r="56" ht="19" customHeight="1">
      <x:c r="B56" s="10"/>
      <x:c r="C56" s="10"/>
      <x:c r="D56" s="10"/>
      <x:c r="E56" s="10"/>
      <x:c r="F56" s="10"/>
    </x:row>
    <x:row r="57" ht="19" customHeight="1">
      <x:c r="B57" s="10"/>
      <x:c r="C57" s="10"/>
      <x:c r="D57" s="10"/>
      <x:c r="E57" s="10"/>
      <x:c r="F57" s="10"/>
    </x:row>
    <x:row r="58" ht="19" customHeight="1">
      <x:c r="B58" s="10"/>
      <x:c r="C58" s="10"/>
      <x:c r="D58" s="10"/>
      <x:c r="E58" s="10"/>
      <x:c r="F58" s="10"/>
    </x:row>
    <x:row r="59" ht="19" customHeight="1">
      <x:c r="B59" s="10"/>
      <x:c r="C59" s="10"/>
      <x:c r="D59" s="10"/>
      <x:c r="E59" s="10"/>
      <x:c r="F59" s="10"/>
    </x:row>
    <x:row r="60" ht="19" customHeight="1">
      <x:c r="B60" s="10"/>
      <x:c r="C60" s="10"/>
      <x:c r="D60" s="10"/>
      <x:c r="E60" s="10"/>
      <x:c r="F60" s="10"/>
    </x:row>
    <x:row r="61" ht="19" customHeight="1">
      <x:c r="B61" s="10"/>
      <x:c r="C61" s="10"/>
      <x:c r="D61" s="10"/>
      <x:c r="E61" s="10"/>
      <x:c r="F61" s="10"/>
    </x:row>
    <x:row r="62" ht="19" customHeight="1">
      <x:c r="B62" s="10"/>
      <x:c r="C62" s="10"/>
      <x:c r="D62" s="10"/>
      <x:c r="E62" s="10"/>
      <x:c r="F62" s="10"/>
    </x:row>
    <x:row r="63" ht="19" customHeight="1">
      <x:c r="B63" s="10"/>
      <x:c r="C63" s="10"/>
      <x:c r="D63" s="10"/>
      <x:c r="E63" s="10"/>
      <x:c r="F63" s="10"/>
    </x:row>
    <x:row r="64" ht="19" customHeight="1">
      <x:c r="B64" s="10"/>
      <x:c r="C64" s="10"/>
      <x:c r="D64" s="10"/>
      <x:c r="E64" s="10"/>
      <x:c r="F64" s="10"/>
    </x:row>
    <x:row r="65" ht="19" customHeight="1">
      <x:c r="B65" s="10"/>
      <x:c r="C65" s="10"/>
      <x:c r="D65" s="10"/>
      <x:c r="E65" s="10"/>
      <x:c r="F65" s="10"/>
    </x:row>
    <x:row r="66" ht="19" customHeight="1">
      <x:c r="B66" s="10"/>
      <x:c r="C66" s="10"/>
      <x:c r="D66" s="10"/>
      <x:c r="E66" s="10"/>
      <x:c r="F66" s="10"/>
    </x:row>
    <x:row r="67" ht="19" customHeight="1">
      <x:c r="B67" s="10"/>
      <x:c r="C67" s="10"/>
      <x:c r="D67" s="10"/>
      <x:c r="E67" s="10"/>
      <x:c r="F67" s="10"/>
    </x:row>
    <x:row r="68" ht="19" customHeight="1">
      <x:c r="B68" s="10"/>
      <x:c r="C68" s="10"/>
      <x:c r="D68" s="10"/>
      <x:c r="E68" s="10"/>
      <x:c r="F68" s="10"/>
    </x:row>
    <x:row r="69" ht="19" customHeight="1">
      <x:c r="B69" s="10"/>
      <x:c r="C69" s="10"/>
      <x:c r="D69" s="10"/>
      <x:c r="E69" s="10"/>
      <x:c r="F69" s="10"/>
    </x:row>
    <x:row r="70" ht="19" customHeight="1">
      <x:c r="B70" s="10"/>
      <x:c r="C70" s="10"/>
      <x:c r="D70" s="10"/>
      <x:c r="E70" s="10"/>
      <x:c r="F70" s="10"/>
    </x:row>
    <x:row r="71" ht="19" customHeight="1">
      <x:c r="B71" s="10"/>
      <x:c r="C71" s="10"/>
      <x:c r="D71" s="10"/>
      <x:c r="E71" s="10"/>
      <x:c r="F71" s="10"/>
    </x:row>
    <x:row r="72" ht="19" customHeight="1">
      <x:c r="B72" s="10"/>
      <x:c r="C72" s="10"/>
      <x:c r="D72" s="10"/>
      <x:c r="E72" s="10"/>
      <x:c r="F72" s="10"/>
    </x:row>
    <x:row r="73" ht="19" customHeight="1">
      <x:c r="B73" s="10"/>
      <x:c r="C73" s="10"/>
      <x:c r="D73" s="10"/>
      <x:c r="E73" s="10"/>
      <x:c r="F73" s="10"/>
    </x:row>
    <x:row r="74" ht="19" customHeight="1">
      <x:c r="B74" s="10"/>
      <x:c r="C74" s="10"/>
      <x:c r="D74" s="10"/>
      <x:c r="E74" s="10"/>
      <x:c r="F74" s="10"/>
    </x:row>
    <x:row r="75" ht="19" customHeight="1">
      <x:c r="B75" s="10"/>
      <x:c r="C75" s="10"/>
      <x:c r="D75" s="10"/>
      <x:c r="E75" s="10"/>
      <x:c r="F75" s="10"/>
    </x:row>
    <x:row r="76" ht="19" customHeight="1">
      <x:c r="B76" s="10"/>
      <x:c r="C76" s="10"/>
      <x:c r="D76" s="10"/>
      <x:c r="E76" s="10"/>
      <x:c r="F76" s="10"/>
    </x:row>
    <x:row r="77" ht="19" customHeight="1">
      <x:c r="B77" s="10"/>
      <x:c r="C77" s="10"/>
      <x:c r="D77" s="10"/>
      <x:c r="E77" s="10"/>
      <x:c r="F77" s="10"/>
    </x:row>
    <x:row r="78" ht="19" customHeight="1">
      <x:c r="B78" s="10"/>
      <x:c r="C78" s="10"/>
      <x:c r="D78" s="10"/>
      <x:c r="E78" s="10"/>
      <x:c r="F78" s="10"/>
    </x:row>
    <x:row r="79" ht="19" customHeight="1">
      <x:c r="B79" s="10"/>
      <x:c r="C79" s="10"/>
      <x:c r="D79" s="10"/>
      <x:c r="E79" s="10"/>
      <x:c r="F79" s="10"/>
    </x:row>
    <x:row r="80" ht="19" customHeight="1">
      <x:c r="B80" s="10"/>
      <x:c r="C80" s="10"/>
      <x:c r="D80" s="10"/>
      <x:c r="E80" s="10"/>
      <x:c r="F80" s="10"/>
    </x:row>
    <x:row r="81" ht="19" customHeight="1">
      <x:c r="B81" s="10"/>
      <x:c r="C81" s="10"/>
      <x:c r="D81" s="10"/>
      <x:c r="E81" s="10"/>
      <x:c r="F81" s="10"/>
    </x:row>
    <x:row r="82" ht="19" customHeight="1">
      <x:c r="B82" s="10"/>
      <x:c r="C82" s="10"/>
      <x:c r="D82" s="10"/>
      <x:c r="E82" s="10"/>
      <x:c r="F82" s="10"/>
    </x:row>
    <x:row r="83" ht="19" customHeight="1">
      <x:c r="B83" s="10"/>
      <x:c r="C83" s="10"/>
      <x:c r="D83" s="10"/>
      <x:c r="E83" s="10"/>
      <x:c r="F83" s="10"/>
    </x:row>
    <x:row r="84" ht="19" customHeight="1">
      <x:c r="B84" s="10"/>
      <x:c r="C84" s="10"/>
      <x:c r="D84" s="10"/>
      <x:c r="E84" s="10"/>
      <x:c r="F84" s="10"/>
    </x:row>
    <x:row r="85" ht="19" customHeight="1">
      <x:c r="B85" s="10"/>
      <x:c r="C85" s="10"/>
      <x:c r="D85" s="10"/>
      <x:c r="E85" s="10"/>
      <x:c r="F85" s="10"/>
    </x:row>
    <x:row r="86" ht="19" customHeight="1">
      <x:c r="B86" s="10"/>
      <x:c r="C86" s="10"/>
      <x:c r="D86" s="10"/>
      <x:c r="E86" s="10"/>
      <x:c r="F86" s="10"/>
    </x:row>
    <x:row r="87" ht="19" customHeight="1">
      <x:c r="B87" s="10"/>
      <x:c r="C87" s="10"/>
      <x:c r="D87" s="10"/>
      <x:c r="E87" s="10"/>
      <x:c r="F87" s="10"/>
    </x:row>
    <x:row r="88" ht="19" customHeight="1">
      <x:c r="B88" s="10"/>
      <x:c r="C88" s="10"/>
      <x:c r="D88" s="10"/>
      <x:c r="E88" s="10"/>
      <x:c r="F88" s="10"/>
    </x:row>
    <x:row r="89" ht="19" customHeight="1">
      <x:c r="B89" s="10"/>
      <x:c r="C89" s="10"/>
      <x:c r="D89" s="10"/>
      <x:c r="E89" s="10"/>
      <x:c r="F89" s="10"/>
    </x:row>
    <x:row r="90" ht="19" customHeight="1">
      <x:c r="B90" s="10"/>
      <x:c r="C90" s="10"/>
      <x:c r="D90" s="10"/>
      <x:c r="E90" s="10"/>
      <x:c r="F90" s="10"/>
    </x:row>
  </x:sheetData>
  <x:mergeCells>
    <x:mergeCell ref="A1:F2"/>
    <x:mergeCell ref="A3:F3"/>
    <x:mergeCell ref="A25:F25"/>
  </x:mergeCells>
  <x:pageMargins left="0.7" right="0.7" top="0.75" bottom="0.75" header="0.3" footer="0.3"/>
</x:worksheet>
</file>